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inleitung" sheetId="1" r:id="rId5"/>
    <sheet state="visible" name="FORM" sheetId="2" r:id="rId6"/>
    <sheet state="visible" name="Legende" sheetId="3" r:id="rId7"/>
  </sheets>
  <definedNames>
    <definedName name="Bottomline">FORM!$A$63:$I$63</definedName>
    <definedName name="DB">FORM!$A$25:$O$63</definedName>
    <definedName name="Topdb">FORM!$B$25</definedName>
  </definedNames>
  <calcPr/>
  <extLst>
    <ext uri="GoogleSheetsCustomDataVersion1">
      <go:sheetsCustomData xmlns:go="http://customooxmlschemas.google.com/" r:id="rId8" roundtripDataSignature="AMtx7mitSNfh48Ba7Gb4A64dsISjt2Iy3w=="/>
    </ext>
  </extLst>
</workbook>
</file>

<file path=xl/sharedStrings.xml><?xml version="1.0" encoding="utf-8"?>
<sst xmlns="http://schemas.openxmlformats.org/spreadsheetml/2006/main" count="317" uniqueCount="174">
  <si>
    <t>AJ</t>
  </si>
  <si>
    <t>QB2</t>
  </si>
  <si>
    <t>Restgasanalyse</t>
  </si>
  <si>
    <t>Projekt - Risikoanalyse</t>
  </si>
  <si>
    <t xml:space="preserve"> </t>
  </si>
  <si>
    <t>Version: 1.0</t>
  </si>
  <si>
    <t>Projekttitel</t>
  </si>
  <si>
    <t>Status</t>
  </si>
  <si>
    <t>In Bearbeitung</t>
  </si>
  <si>
    <t>Verteiler</t>
  </si>
  <si>
    <t>Lars Meise, Marius Bäsler, Tobias Bittl, Andreas Junemann</t>
  </si>
  <si>
    <t>Version</t>
  </si>
  <si>
    <t>Author</t>
  </si>
  <si>
    <t>Änderungsbeschreibung</t>
  </si>
  <si>
    <t>Datum</t>
  </si>
  <si>
    <t>0.1</t>
  </si>
  <si>
    <t>Andreas Junemann</t>
  </si>
  <si>
    <t>Erstellung des Dokumentes</t>
  </si>
  <si>
    <t>1.0</t>
  </si>
  <si>
    <t>Anpassung des Dokumentes</t>
  </si>
  <si>
    <t>Statuswechsel</t>
  </si>
  <si>
    <t>Projektmitarbeiter:</t>
  </si>
  <si>
    <t>Lars Meise (LM)</t>
  </si>
  <si>
    <t>Marius Bäsler (MB)</t>
  </si>
  <si>
    <t>Tobias Bittl (TB)</t>
  </si>
  <si>
    <t>Andreas Junemann (AJ)</t>
  </si>
  <si>
    <t>Released</t>
  </si>
  <si>
    <t>Process defined</t>
  </si>
  <si>
    <t>Not released</t>
  </si>
  <si>
    <t>Not tested</t>
  </si>
  <si>
    <t xml:space="preserve">Erstellt durch: </t>
  </si>
  <si>
    <t>PROJEKT Risikoanalyse</t>
  </si>
  <si>
    <t xml:space="preserve">Datum: </t>
  </si>
  <si>
    <t>TEST PROZESSLISTE</t>
  </si>
  <si>
    <t>STATISTICS</t>
  </si>
  <si>
    <t>Entwickler</t>
  </si>
  <si>
    <t>Extensive</t>
  </si>
  <si>
    <t>Benutzer</t>
  </si>
  <si>
    <t>Moderate</t>
  </si>
  <si>
    <t>Both</t>
  </si>
  <si>
    <t>Low</t>
  </si>
  <si>
    <t>None</t>
  </si>
  <si>
    <t>Incorrect</t>
  </si>
  <si>
    <t>MESSAGES</t>
  </si>
  <si>
    <t xml:space="preserve">PROZESS ID
</t>
  </si>
  <si>
    <t xml:space="preserve">PROZESSBESCHREIBUNG
</t>
  </si>
  <si>
    <t>a</t>
  </si>
  <si>
    <t xml:space="preserve">Test Szenario
</t>
  </si>
  <si>
    <t xml:space="preserve">Verantwortlich
</t>
  </si>
  <si>
    <t>Prozess Risikobew.</t>
  </si>
  <si>
    <t>Technische
Risikobew.</t>
  </si>
  <si>
    <t>Processrisiko</t>
  </si>
  <si>
    <t>Test Status</t>
  </si>
  <si>
    <t>Priorität</t>
  </si>
  <si>
    <t>Test abgeschlossen</t>
  </si>
  <si>
    <t>Ergebnis</t>
  </si>
  <si>
    <t>Bemerkungen</t>
  </si>
  <si>
    <t>P1</t>
  </si>
  <si>
    <t>Spektrometer API - Starten der Messroutine</t>
  </si>
  <si>
    <t xml:space="preserve">Messung des Spektrometer soll über REST API mit den erforderlichen Messparameter gestartet werden (mit curl) 
▶ Messung läuft </t>
  </si>
  <si>
    <t>Test durchgeführt</t>
  </si>
  <si>
    <t>J</t>
  </si>
  <si>
    <t>alle Tests positv</t>
  </si>
  <si>
    <t>keine Massnahmen erforderlich</t>
  </si>
  <si>
    <t>P2</t>
  </si>
  <si>
    <t>Spektrometer API - Abfrage der Massen</t>
  </si>
  <si>
    <t>Nach P1 sollen die Messdaten abgefragt werden können (mit curl) ▶ Massendaten in JSON Format</t>
  </si>
  <si>
    <t>P3</t>
  </si>
  <si>
    <t>Spektrometer API - Abfrage des Druck</t>
  </si>
  <si>
    <t>Nach P1 soll ebenfalls der Druck abgefragt werden können (mit curl) ▶ Druckwerte in JSON Format</t>
  </si>
  <si>
    <t>M1</t>
  </si>
  <si>
    <t>Spektrometer Client - Messroutine über REST API starten</t>
  </si>
  <si>
    <t>(nähere Definition in QB3)</t>
  </si>
  <si>
    <t>Test offen</t>
  </si>
  <si>
    <t>N</t>
  </si>
  <si>
    <t>M2</t>
  </si>
  <si>
    <t>Spektrometer Client - Messroutine über REST API stoppen</t>
  </si>
  <si>
    <t>M3</t>
  </si>
  <si>
    <t>Spektrometer Client - Messroutine des Spektrometer starten</t>
  </si>
  <si>
    <t>M4</t>
  </si>
  <si>
    <t>Spektrometer Client - Massen des Spektrometer abfragen</t>
  </si>
  <si>
    <t>M5</t>
  </si>
  <si>
    <t>Spektrometer Client - Druck des Spektrometer abfragen</t>
  </si>
  <si>
    <t>M6</t>
  </si>
  <si>
    <t>Spektrometer Client - Messdaten in die Datenbank speichern</t>
  </si>
  <si>
    <t>M7</t>
  </si>
  <si>
    <t>Spektrometer Client - Abschaltung der Messung im Fehlerfall</t>
  </si>
  <si>
    <t>M8</t>
  </si>
  <si>
    <t>Spektrometer Client - Messdaten exportieren</t>
  </si>
  <si>
    <t>M9</t>
  </si>
  <si>
    <t>Spektrometer Client - Drucküberprüfung beim Messstart</t>
  </si>
  <si>
    <t>M10</t>
  </si>
  <si>
    <t>Spektrometer Client - Testabdeckung &gt; 80% (pytest code coverage)</t>
  </si>
  <si>
    <t>M12</t>
  </si>
  <si>
    <t>Spektrometer Client - Code Review (formatiert, statisch codeanalysiert)</t>
  </si>
  <si>
    <t>I1</t>
  </si>
  <si>
    <t>Hardware - Postgres lauffähig auf Hardware</t>
  </si>
  <si>
    <t>I2</t>
  </si>
  <si>
    <t>Hardware - Grafana lauffähig auf Hardware</t>
  </si>
  <si>
    <t>I3</t>
  </si>
  <si>
    <t>Hardware - Spektrometer Client lauffähig auf Hardware</t>
  </si>
  <si>
    <t>I4</t>
  </si>
  <si>
    <t>Hardware - Kommunikation der einzelnen Module</t>
  </si>
  <si>
    <t>B1</t>
  </si>
  <si>
    <t>Benutzer - Grafana Anmeldung und öffnen des Restgasanalyse Dashboard</t>
  </si>
  <si>
    <t>B2</t>
  </si>
  <si>
    <t>Benutzer - Messung über Restgasanalyse Dashboard starten</t>
  </si>
  <si>
    <t>B3</t>
  </si>
  <si>
    <t>Benutzer - Messung über Restgasanalyse Dashboard stoppen</t>
  </si>
  <si>
    <t>B4</t>
  </si>
  <si>
    <t xml:space="preserve">Benutzer - Plot des Druck im Dashboard </t>
  </si>
  <si>
    <t>B5</t>
  </si>
  <si>
    <t xml:space="preserve">Benutzer - Plot der Massen im Dashboard </t>
  </si>
  <si>
    <t>B6</t>
  </si>
  <si>
    <t xml:space="preserve">Benutzer - Plot der integrierten Massen über 1h im Dashboard </t>
  </si>
  <si>
    <t>B7</t>
  </si>
  <si>
    <t>Benutzer - Überblick über Messungen</t>
  </si>
  <si>
    <t>B8</t>
  </si>
  <si>
    <t>Benutzer - Anzeigen alter Messungen</t>
  </si>
  <si>
    <t>B9</t>
  </si>
  <si>
    <t>Benutzer - Exportieren beliebiger Messreihen</t>
  </si>
  <si>
    <t>B10</t>
  </si>
  <si>
    <t>Benutzer - Migrieren von Altdaten nach Migrationskonzept</t>
  </si>
  <si>
    <t>Read here first1</t>
  </si>
  <si>
    <r>
      <rPr>
        <rFont val="Arial"/>
        <color theme="1"/>
        <sz val="10.0"/>
      </rPr>
      <t xml:space="preserve">The "Form" sheet contains several visible and hiden formulas: </t>
    </r>
    <r>
      <rPr>
        <rFont val="Arial"/>
        <color rgb="FFFF0000"/>
        <sz val="10.0"/>
      </rPr>
      <t xml:space="preserve">pay attention when deleting input data and be sure that your selection is not including not-input cells.
</t>
    </r>
    <r>
      <rPr>
        <rFont val="Arial"/>
        <color theme="1"/>
        <sz val="10.0"/>
      </rPr>
      <t xml:space="preserve">Criticality analysis can be customised according to the project need. To do this, before entering any value in the "Form" sheet, you can overwright the default values contained into the </t>
    </r>
    <r>
      <rPr>
        <rFont val="Arial"/>
        <color rgb="FFFF0000"/>
        <sz val="10.0"/>
      </rPr>
      <t>yellow cells</t>
    </r>
    <r>
      <rPr>
        <rFont val="Arial"/>
        <color theme="1"/>
        <sz val="10.0"/>
      </rPr>
      <t xml:space="preserve"> in the following two boxes with your project specific parameters.</t>
    </r>
  </si>
  <si>
    <t>Legende:</t>
  </si>
  <si>
    <t>PROZESS ID</t>
  </si>
  <si>
    <t>PROZESS-BESCHREIBUNG</t>
  </si>
  <si>
    <t>Beschreibung / Geschäftsprozess</t>
  </si>
  <si>
    <t>Test Szenario</t>
  </si>
  <si>
    <t>Process Doku</t>
  </si>
  <si>
    <t>Fachbereich</t>
  </si>
  <si>
    <t>IT</t>
  </si>
  <si>
    <t>Verantwortl.</t>
  </si>
  <si>
    <t>ZYKLUS 1</t>
  </si>
  <si>
    <t>ZYKLUS 2</t>
  </si>
  <si>
    <t>ZYKLUS 3</t>
  </si>
  <si>
    <t>Test Freigabe</t>
  </si>
  <si>
    <t>Ident-Nr.</t>
  </si>
  <si>
    <t>Beschreibung des Prozess bzw. Teilprozess</t>
  </si>
  <si>
    <t>Link zu den Beschreibungen</t>
  </si>
  <si>
    <t>Link zum Test Szenario Dokument</t>
  </si>
  <si>
    <t>Kontrollfeld</t>
  </si>
  <si>
    <t>Person Fachbereich</t>
  </si>
  <si>
    <t>Person IT</t>
  </si>
  <si>
    <t>Risiko Prozess (siehe unten)</t>
  </si>
  <si>
    <t>Risiko Technisch (siehe unten)</t>
  </si>
  <si>
    <t>Status (siehe unten)</t>
  </si>
  <si>
    <t>s.u.</t>
  </si>
  <si>
    <t>Zusatz Info's</t>
  </si>
  <si>
    <t>Define Business and Technical risk weights</t>
  </si>
  <si>
    <t>Business</t>
  </si>
  <si>
    <t>Technical</t>
  </si>
  <si>
    <t>High</t>
  </si>
  <si>
    <t>Medium</t>
  </si>
  <si>
    <t>Define  total weight layer limits</t>
  </si>
  <si>
    <t>over</t>
  </si>
  <si>
    <t>up to (incl.)</t>
  </si>
  <si>
    <t>Status Test:</t>
  </si>
  <si>
    <t>&lt;Datum&gt;</t>
  </si>
  <si>
    <t>fehlerfrei, abgenommen (Testdatum)</t>
  </si>
  <si>
    <t>Fehler, Lösung bekannt, terminiert und an einen Verantwortlichen übertragen (Testdatum)</t>
  </si>
  <si>
    <t>Fehler, keine Maßnahmen definiert (Testdatum)</t>
  </si>
  <si>
    <t>nicht getestet (Datum)</t>
  </si>
  <si>
    <t>Priorität:</t>
  </si>
  <si>
    <t xml:space="preserve">Prio 1 </t>
  </si>
  <si>
    <r>
      <rPr>
        <rFont val="Arial"/>
        <color theme="1"/>
        <sz val="10.0"/>
      </rPr>
      <t>1 =</t>
    </r>
    <r>
      <rPr>
        <rFont val="Arial"/>
        <color rgb="FFFF0000"/>
        <sz val="10.0"/>
      </rPr>
      <t xml:space="preserve"> </t>
    </r>
    <r>
      <rPr>
        <rFont val="Arial"/>
        <color rgb="FF0000FF"/>
        <sz val="10.0"/>
        <u/>
      </rPr>
      <t>lieferkritische Funktion (Auslieferung muss erfolgen)</t>
    </r>
  </si>
  <si>
    <t>Prio 2</t>
  </si>
  <si>
    <r>
      <rPr>
        <rFont val="Arial"/>
        <color theme="1"/>
        <sz val="10.0"/>
      </rPr>
      <t xml:space="preserve">2 = </t>
    </r>
    <r>
      <rPr>
        <rFont val="Arial"/>
        <color rgb="FF0000FF"/>
        <sz val="10.0"/>
        <u/>
      </rPr>
      <t>nicht lieferkritische Funktion (Auslieferung erfolgt später)</t>
    </r>
  </si>
  <si>
    <t>Prio 3</t>
  </si>
  <si>
    <r>
      <rPr>
        <rFont val="Arial"/>
        <color theme="1"/>
        <sz val="10.0"/>
      </rPr>
      <t xml:space="preserve">3 = </t>
    </r>
    <r>
      <rPr>
        <rFont val="Arial"/>
        <color rgb="FF0000FF"/>
        <sz val="10.0"/>
        <u/>
      </rPr>
      <t>nicht lieferkritische Funktion (Auslieferung später möglich bzw. kann entfallen)</t>
    </r>
  </si>
  <si>
    <t>Test Freigabe:</t>
  </si>
  <si>
    <t>Testfall abgenommen und unterschrieben</t>
  </si>
  <si>
    <t>Testfall nicht abgenommen bzw. nicht unterschrieben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</si>
</sst>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/m/yyyy"/>
    <numFmt numFmtId="165" formatCode="0;[Red]0"/>
    <numFmt numFmtId="166" formatCode="#"/>
  </numFmts>
  <fonts count="20">
    <font>
      <sz val="10.0"/>
      <color rgb="FF000000"/>
      <name val="Arial"/>
      <scheme val="minor"/>
    </font>
    <font>
      <sz val="10.0"/>
      <color theme="1"/>
      <name val="Arial"/>
    </font>
    <font>
      <b/>
      <sz val="10.0"/>
      <color theme="1"/>
      <name val="Arial"/>
    </font>
    <font>
      <sz val="10.0"/>
      <color rgb="FFFFFFFF"/>
      <name val="Arial"/>
    </font>
    <font>
      <b/>
      <sz val="16.0"/>
      <color theme="1"/>
      <name val="Arial"/>
    </font>
    <font>
      <sz val="10.0"/>
      <color rgb="FF0000FF"/>
      <name val="Arial"/>
    </font>
    <font/>
    <font>
      <b/>
      <sz val="10.0"/>
      <color rgb="FFFFFFFF"/>
      <name val="Arial"/>
    </font>
    <font>
      <sz val="10.0"/>
      <color theme="1"/>
      <name val="Arimo"/>
    </font>
    <font>
      <b/>
      <sz val="14.0"/>
      <color theme="1"/>
      <name val="Arial"/>
    </font>
    <font>
      <i/>
      <sz val="10.0"/>
      <color theme="1"/>
      <name val="Arial"/>
    </font>
    <font>
      <color theme="1"/>
      <name val="Arial"/>
      <scheme val="minor"/>
    </font>
    <font>
      <sz val="10.0"/>
      <color rgb="FF000000"/>
      <name val="Arial"/>
    </font>
    <font>
      <sz val="14.0"/>
      <color rgb="FFFF0000"/>
      <name val="Arial"/>
    </font>
    <font>
      <b/>
      <sz val="12.0"/>
      <color theme="1"/>
      <name val="Arial"/>
    </font>
    <font>
      <i/>
      <sz val="8.0"/>
      <color theme="1"/>
      <name val="Arial"/>
    </font>
    <font>
      <sz val="8.0"/>
      <color theme="1"/>
      <name val="Arial"/>
    </font>
    <font>
      <sz val="12.0"/>
      <color theme="1"/>
      <name val="Arial"/>
    </font>
    <font>
      <b/>
      <i/>
      <sz val="12.0"/>
      <color theme="1"/>
      <name val="Arial"/>
    </font>
    <font>
      <b/>
      <i/>
      <sz val="12.0"/>
      <color rgb="FFFFFFFF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000000"/>
        <bgColor rgb="FF000000"/>
      </patternFill>
    </fill>
    <fill>
      <patternFill patternType="solid">
        <fgColor rgb="FF00FFFF"/>
        <bgColor rgb="FF00FFFF"/>
      </patternFill>
    </fill>
    <fill>
      <patternFill patternType="solid">
        <fgColor rgb="FFCCFFFF"/>
        <bgColor rgb="FFCCFFFF"/>
      </patternFill>
    </fill>
    <fill>
      <patternFill patternType="solid">
        <fgColor rgb="FF99CCFF"/>
        <bgColor rgb="FF99CCFF"/>
      </patternFill>
    </fill>
    <fill>
      <patternFill patternType="solid">
        <fgColor rgb="FFFFCC99"/>
        <bgColor rgb="FFFFCC99"/>
      </patternFill>
    </fill>
    <fill>
      <patternFill patternType="solid">
        <fgColor rgb="FFCC99FF"/>
        <bgColor rgb="FFCC99FF"/>
      </patternFill>
    </fill>
    <fill>
      <patternFill patternType="solid">
        <fgColor rgb="FFFFFF99"/>
        <bgColor rgb="FFFFFF99"/>
      </patternFill>
    </fill>
    <fill>
      <patternFill patternType="solid">
        <fgColor rgb="FFFF99CC"/>
        <bgColor rgb="FFFF99CC"/>
      </patternFill>
    </fill>
  </fills>
  <borders count="60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 style="medium">
        <color rgb="FFC0C0C0"/>
      </left>
      <right style="medium">
        <color rgb="FFC0C0C0"/>
      </right>
      <top style="medium">
        <color rgb="FFC0C0C0"/>
      </top>
      <bottom style="medium">
        <color rgb="FFC0C0C0"/>
      </bottom>
    </border>
    <border>
      <left/>
      <right/>
      <top/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medium">
        <color rgb="FF000000"/>
      </left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  <right style="medium">
        <color rgb="FF000000"/>
      </right>
    </border>
    <border>
      <right style="medium">
        <color rgb="FF000000"/>
      </right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</border>
    <border>
      <right style="medium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/>
      <bottom/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75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1" numFmtId="0" xfId="0" applyBorder="1" applyFont="1"/>
    <xf borderId="1" fillId="0" fontId="1" numFmtId="14" xfId="0" applyBorder="1" applyFont="1" applyNumberFormat="1"/>
    <xf borderId="2" fillId="0" fontId="1" numFmtId="0" xfId="0" applyBorder="1" applyFont="1"/>
    <xf borderId="1" fillId="0" fontId="1" numFmtId="0" xfId="0" applyAlignment="1" applyBorder="1" applyFont="1">
      <alignment readingOrder="0"/>
    </xf>
    <xf borderId="3" fillId="0" fontId="1" numFmtId="0" xfId="0" applyBorder="1" applyFont="1"/>
    <xf borderId="4" fillId="0" fontId="1" numFmtId="0" xfId="0" applyBorder="1" applyFont="1"/>
    <xf borderId="5" fillId="0" fontId="2" numFmtId="0" xfId="0" applyBorder="1" applyFont="1"/>
    <xf borderId="5" fillId="0" fontId="1" numFmtId="0" xfId="0" applyBorder="1" applyFont="1"/>
    <xf borderId="1" fillId="2" fontId="1" numFmtId="0" xfId="0" applyBorder="1" applyFill="1" applyFont="1"/>
    <xf borderId="6" fillId="0" fontId="1" numFmtId="0" xfId="0" applyBorder="1" applyFont="1"/>
    <xf borderId="7" fillId="2" fontId="1" numFmtId="0" xfId="0" applyBorder="1" applyFont="1"/>
    <xf borderId="1" fillId="0" fontId="1" numFmtId="164" xfId="0" applyAlignment="1" applyBorder="1" applyFont="1" applyNumberFormat="1">
      <alignment horizontal="right"/>
    </xf>
    <xf borderId="1" fillId="0" fontId="1" numFmtId="16" xfId="0" applyBorder="1" applyFont="1" applyNumberFormat="1"/>
    <xf borderId="8" fillId="0" fontId="2" numFmtId="0" xfId="0" applyAlignment="1" applyBorder="1" applyFont="1">
      <alignment vertical="center"/>
    </xf>
    <xf borderId="8" fillId="0" fontId="1" numFmtId="0" xfId="0" applyAlignment="1" applyBorder="1" applyFont="1">
      <alignment shrinkToFit="0" wrapText="1"/>
    </xf>
    <xf borderId="8" fillId="0" fontId="2" numFmtId="0" xfId="0" applyAlignment="1" applyBorder="1" applyFont="1">
      <alignment shrinkToFit="0" wrapText="1"/>
    </xf>
    <xf borderId="8" fillId="0" fontId="1" numFmtId="0" xfId="0" applyAlignment="1" applyBorder="1" applyFont="1">
      <alignment vertical="center"/>
    </xf>
    <xf borderId="9" fillId="3" fontId="1" numFmtId="0" xfId="0" applyAlignment="1" applyBorder="1" applyFill="1" applyFont="1">
      <alignment horizontal="center" shrinkToFit="0" vertical="top" wrapText="1"/>
    </xf>
    <xf borderId="0" fillId="0" fontId="1" numFmtId="0" xfId="0" applyAlignment="1" applyFont="1">
      <alignment horizontal="center"/>
    </xf>
    <xf borderId="9" fillId="4" fontId="1" numFmtId="0" xfId="0" applyAlignment="1" applyBorder="1" applyFill="1" applyFont="1">
      <alignment horizontal="center"/>
    </xf>
    <xf borderId="9" fillId="5" fontId="1" numFmtId="0" xfId="0" applyAlignment="1" applyBorder="1" applyFill="1" applyFont="1">
      <alignment horizontal="center" shrinkToFit="0" vertical="top" wrapText="1"/>
    </xf>
    <xf borderId="9" fillId="6" fontId="3" numFmtId="0" xfId="0" applyAlignment="1" applyBorder="1" applyFill="1" applyFont="1">
      <alignment horizontal="center" shrinkToFit="0" vertical="top" wrapText="1"/>
    </xf>
    <xf borderId="10" fillId="0" fontId="2" numFmtId="0" xfId="0" applyAlignment="1" applyBorder="1" applyFont="1">
      <alignment horizontal="right"/>
    </xf>
    <xf borderId="11" fillId="0" fontId="4" numFmtId="0" xfId="0" applyAlignment="1" applyBorder="1" applyFont="1">
      <alignment horizontal="center" shrinkToFit="0" vertical="center" wrapText="1"/>
    </xf>
    <xf borderId="0" fillId="0" fontId="5" numFmtId="0" xfId="0" applyAlignment="1" applyFont="1">
      <alignment horizontal="left"/>
    </xf>
    <xf borderId="0" fillId="0" fontId="4" numFmtId="0" xfId="0" applyAlignment="1" applyFont="1">
      <alignment horizontal="center"/>
    </xf>
    <xf borderId="12" fillId="0" fontId="5" numFmtId="0" xfId="0" applyAlignment="1" applyBorder="1" applyFont="1">
      <alignment horizontal="left"/>
    </xf>
    <xf borderId="13" fillId="0" fontId="6" numFmtId="0" xfId="0" applyBorder="1" applyFont="1"/>
    <xf borderId="12" fillId="0" fontId="2" numFmtId="0" xfId="0" applyAlignment="1" applyBorder="1" applyFont="1">
      <alignment horizontal="left"/>
    </xf>
    <xf borderId="14" fillId="0" fontId="4" numFmtId="0" xfId="0" applyAlignment="1" applyBorder="1" applyFont="1">
      <alignment horizontal="center" vertical="center"/>
    </xf>
    <xf borderId="15" fillId="0" fontId="5" numFmtId="14" xfId="0" applyAlignment="1" applyBorder="1" applyFont="1" applyNumberFormat="1">
      <alignment horizontal="left"/>
    </xf>
    <xf borderId="16" fillId="0" fontId="6" numFmtId="0" xfId="0" applyBorder="1" applyFont="1"/>
    <xf borderId="0" fillId="0" fontId="3" numFmtId="0" xfId="0" applyAlignment="1" applyFont="1">
      <alignment horizontal="left"/>
    </xf>
    <xf borderId="0" fillId="0" fontId="2" numFmtId="0" xfId="0" applyAlignment="1" applyFont="1">
      <alignment horizontal="center"/>
    </xf>
    <xf borderId="4" fillId="0" fontId="2" numFmtId="0" xfId="0" applyAlignment="1" applyBorder="1" applyFont="1">
      <alignment horizontal="center"/>
    </xf>
    <xf borderId="3" fillId="0" fontId="2" numFmtId="0" xfId="0" applyAlignment="1" applyBorder="1" applyFont="1">
      <alignment horizontal="left"/>
    </xf>
    <xf borderId="0" fillId="0" fontId="2" numFmtId="165" xfId="0" applyAlignment="1" applyFont="1" applyNumberFormat="1">
      <alignment horizontal="left" shrinkToFit="0" vertical="top" wrapText="1"/>
    </xf>
    <xf borderId="17" fillId="4" fontId="2" numFmtId="0" xfId="0" applyBorder="1" applyFont="1"/>
    <xf borderId="18" fillId="0" fontId="2" numFmtId="0" xfId="0" applyAlignment="1" applyBorder="1" applyFont="1">
      <alignment horizontal="left"/>
    </xf>
    <xf borderId="17" fillId="5" fontId="7" numFmtId="0" xfId="0" applyBorder="1" applyFont="1"/>
    <xf borderId="19" fillId="7" fontId="2" numFmtId="0" xfId="0" applyBorder="1" applyFill="1" applyFont="1"/>
    <xf borderId="19" fillId="4" fontId="2" numFmtId="166" xfId="0" applyBorder="1" applyFont="1" applyNumberFormat="1"/>
    <xf borderId="9" fillId="5" fontId="1" numFmtId="0" xfId="0" applyAlignment="1" applyBorder="1" applyFont="1">
      <alignment horizontal="center"/>
    </xf>
    <xf borderId="20" fillId="3" fontId="2" numFmtId="0" xfId="0" applyBorder="1" applyFont="1"/>
    <xf borderId="9" fillId="3" fontId="1" numFmtId="0" xfId="0" applyAlignment="1" applyBorder="1" applyFont="1">
      <alignment horizontal="center"/>
    </xf>
    <xf borderId="21" fillId="5" fontId="7" numFmtId="0" xfId="0" applyAlignment="1" applyBorder="1" applyFont="1">
      <alignment horizontal="right"/>
    </xf>
    <xf borderId="22" fillId="0" fontId="2" numFmtId="0" xfId="0" applyAlignment="1" applyBorder="1" applyFont="1">
      <alignment horizontal="left"/>
    </xf>
    <xf borderId="21" fillId="6" fontId="7" numFmtId="166" xfId="0" applyAlignment="1" applyBorder="1" applyFont="1" applyNumberFormat="1">
      <alignment horizontal="right"/>
    </xf>
    <xf borderId="2" fillId="0" fontId="2" numFmtId="0" xfId="0" applyBorder="1" applyFont="1"/>
    <xf borderId="2" fillId="0" fontId="2" numFmtId="0" xfId="0" applyAlignment="1" applyBorder="1" applyFont="1">
      <alignment horizontal="left"/>
    </xf>
    <xf borderId="0" fillId="0" fontId="2" numFmtId="0" xfId="0" applyAlignment="1" applyFont="1">
      <alignment horizontal="left"/>
    </xf>
    <xf borderId="0" fillId="0" fontId="2" numFmtId="0" xfId="0" applyFont="1"/>
    <xf borderId="0" fillId="0" fontId="7" numFmtId="0" xfId="0" applyAlignment="1" applyFont="1">
      <alignment horizontal="left"/>
    </xf>
    <xf borderId="1" fillId="0" fontId="2" numFmtId="0" xfId="0" applyAlignment="1" applyBorder="1" applyFont="1">
      <alignment horizontal="center"/>
    </xf>
    <xf borderId="3" fillId="0" fontId="2" numFmtId="0" xfId="0" applyAlignment="1" applyBorder="1" applyFont="1">
      <alignment horizontal="center"/>
    </xf>
    <xf borderId="4" fillId="0" fontId="6" numFmtId="0" xfId="0" applyBorder="1" applyFont="1"/>
    <xf borderId="18" fillId="0" fontId="2" numFmtId="0" xfId="0" applyAlignment="1" applyBorder="1" applyFont="1">
      <alignment horizontal="center"/>
    </xf>
    <xf borderId="0" fillId="0" fontId="7" numFmtId="165" xfId="0" applyAlignment="1" applyFont="1" applyNumberFormat="1">
      <alignment horizontal="left" shrinkToFit="0" vertical="top" wrapText="1"/>
    </xf>
    <xf borderId="23" fillId="0" fontId="2" numFmtId="165" xfId="0" applyAlignment="1" applyBorder="1" applyFont="1" applyNumberFormat="1">
      <alignment horizontal="center" shrinkToFit="0" vertical="top" wrapText="1"/>
    </xf>
    <xf borderId="24" fillId="0" fontId="2" numFmtId="165" xfId="0" applyAlignment="1" applyBorder="1" applyFont="1" applyNumberFormat="1">
      <alignment horizontal="center" shrinkToFit="0" vertical="top" wrapText="1"/>
    </xf>
    <xf borderId="25" fillId="0" fontId="2" numFmtId="165" xfId="0" applyAlignment="1" applyBorder="1" applyFont="1" applyNumberFormat="1">
      <alignment horizontal="center" shrinkToFit="0" vertical="top" wrapText="1"/>
    </xf>
    <xf borderId="24" fillId="0" fontId="6" numFmtId="0" xfId="0" applyBorder="1" applyFont="1"/>
    <xf borderId="0" fillId="0" fontId="8" numFmtId="0" xfId="0" applyFont="1"/>
    <xf borderId="26" fillId="0" fontId="6" numFmtId="0" xfId="0" applyBorder="1" applyFont="1"/>
    <xf borderId="27" fillId="0" fontId="6" numFmtId="0" xfId="0" applyBorder="1" applyFont="1"/>
    <xf borderId="18" fillId="0" fontId="6" numFmtId="0" xfId="0" applyBorder="1" applyFont="1"/>
    <xf borderId="0" fillId="0" fontId="9" numFmtId="0" xfId="0" applyAlignment="1" applyFont="1">
      <alignment horizontal="center"/>
    </xf>
    <xf borderId="28" fillId="0" fontId="6" numFmtId="0" xfId="0" applyBorder="1" applyFont="1"/>
    <xf borderId="29" fillId="0" fontId="6" numFmtId="0" xfId="0" applyBorder="1" applyFont="1"/>
    <xf borderId="22" fillId="0" fontId="6" numFmtId="0" xfId="0" applyBorder="1" applyFont="1"/>
    <xf borderId="0" fillId="0" fontId="9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center" shrinkToFit="0" vertical="center" wrapText="1"/>
    </xf>
    <xf borderId="10" fillId="0" fontId="2" numFmtId="0" xfId="0" applyAlignment="1" applyBorder="1" applyFont="1">
      <alignment horizontal="center" shrinkToFit="0" wrapText="1"/>
    </xf>
    <xf borderId="30" fillId="0" fontId="2" numFmtId="0" xfId="0" applyAlignment="1" applyBorder="1" applyFont="1">
      <alignment horizontal="center" shrinkToFit="0" wrapText="1"/>
    </xf>
    <xf borderId="31" fillId="0" fontId="7" numFmtId="0" xfId="0" applyAlignment="1" applyBorder="1" applyFont="1">
      <alignment horizontal="center" shrinkToFit="0" vertical="center" wrapText="1"/>
    </xf>
    <xf borderId="32" fillId="0" fontId="2" numFmtId="0" xfId="0" applyAlignment="1" applyBorder="1" applyFont="1">
      <alignment horizontal="center" shrinkToFit="0" wrapText="1"/>
    </xf>
    <xf borderId="1" fillId="0" fontId="2" numFmtId="0" xfId="0" applyAlignment="1" applyBorder="1" applyFont="1">
      <alignment horizontal="center" shrinkToFit="0" wrapText="1"/>
    </xf>
    <xf borderId="33" fillId="0" fontId="2" numFmtId="0" xfId="0" applyAlignment="1" applyBorder="1" applyFont="1">
      <alignment horizontal="center" shrinkToFit="0" wrapText="1"/>
    </xf>
    <xf borderId="1" fillId="0" fontId="2" numFmtId="0" xfId="0" applyAlignment="1" applyBorder="1" applyFont="1">
      <alignment horizontal="center" shrinkToFit="0" textRotation="90" vertical="center" wrapText="1"/>
    </xf>
    <xf borderId="34" fillId="0" fontId="7" numFmtId="0" xfId="0" applyAlignment="1" applyBorder="1" applyFont="1">
      <alignment horizontal="center" shrinkToFit="0" vertical="center" wrapText="1"/>
    </xf>
    <xf borderId="35" fillId="0" fontId="2" numFmtId="0" xfId="0" applyAlignment="1" applyBorder="1" applyFont="1">
      <alignment horizontal="center" shrinkToFit="0" vertical="center" wrapText="1"/>
    </xf>
    <xf borderId="23" fillId="0" fontId="2" numFmtId="0" xfId="0" applyAlignment="1" applyBorder="1" applyFont="1">
      <alignment horizontal="center" shrinkToFit="0" vertical="center" wrapText="1"/>
    </xf>
    <xf borderId="36" fillId="0" fontId="3" numFmtId="0" xfId="0" applyAlignment="1" applyBorder="1" applyFont="1">
      <alignment horizontal="left"/>
    </xf>
    <xf borderId="37" fillId="0" fontId="1" numFmtId="49" xfId="0" applyBorder="1" applyFont="1" applyNumberFormat="1"/>
    <xf borderId="38" fillId="0" fontId="1" numFmtId="0" xfId="0" applyAlignment="1" applyBorder="1" applyFont="1">
      <alignment horizontal="left"/>
    </xf>
    <xf borderId="39" fillId="0" fontId="1" numFmtId="0" xfId="0" applyAlignment="1" applyBorder="1" applyFont="1">
      <alignment horizontal="left"/>
    </xf>
    <xf borderId="14" fillId="0" fontId="1" numFmtId="0" xfId="0" applyAlignment="1" applyBorder="1" applyFont="1">
      <alignment horizontal="left" readingOrder="0" shrinkToFit="0" wrapText="1"/>
    </xf>
    <xf borderId="36" fillId="0" fontId="1" numFmtId="0" xfId="0" applyAlignment="1" applyBorder="1" applyFont="1">
      <alignment horizontal="left"/>
    </xf>
    <xf borderId="36" fillId="0" fontId="1" numFmtId="0" xfId="0" applyBorder="1" applyFont="1"/>
    <xf borderId="14" fillId="0" fontId="1" numFmtId="0" xfId="0" applyBorder="1" applyFont="1"/>
    <xf borderId="27" fillId="0" fontId="1" numFmtId="166" xfId="0" applyAlignment="1" applyBorder="1" applyFont="1" applyNumberFormat="1">
      <alignment horizontal="center"/>
    </xf>
    <xf borderId="40" fillId="0" fontId="1" numFmtId="0" xfId="0" applyBorder="1" applyFont="1"/>
    <xf borderId="41" fillId="0" fontId="1" numFmtId="0" xfId="0" applyBorder="1" applyFont="1"/>
    <xf borderId="26" fillId="0" fontId="1" numFmtId="0" xfId="0" applyAlignment="1" applyBorder="1" applyFont="1">
      <alignment horizontal="center"/>
    </xf>
    <xf borderId="23" fillId="0" fontId="1" numFmtId="49" xfId="0" applyAlignment="1" applyBorder="1" applyFont="1" applyNumberFormat="1">
      <alignment shrinkToFit="0" wrapText="1"/>
    </xf>
    <xf borderId="27" fillId="0" fontId="1" numFmtId="0" xfId="0" applyAlignment="1" applyBorder="1" applyFont="1">
      <alignment horizontal="left"/>
    </xf>
    <xf borderId="41" fillId="0" fontId="1" numFmtId="0" xfId="0" applyAlignment="1" applyBorder="1" applyFont="1">
      <alignment horizontal="left" shrinkToFit="0" wrapText="1"/>
    </xf>
    <xf borderId="41" fillId="0" fontId="1" numFmtId="0" xfId="0" applyAlignment="1" applyBorder="1" applyFont="1">
      <alignment horizontal="left" readingOrder="0" shrinkToFit="0" wrapText="1"/>
    </xf>
    <xf borderId="41" fillId="0" fontId="10" numFmtId="0" xfId="0" applyAlignment="1" applyBorder="1" applyFont="1">
      <alignment horizontal="left"/>
    </xf>
    <xf borderId="26" fillId="0" fontId="1" numFmtId="49" xfId="0" applyAlignment="1" applyBorder="1" applyFont="1" applyNumberFormat="1">
      <alignment shrinkToFit="0" wrapText="1"/>
    </xf>
    <xf borderId="26" fillId="0" fontId="1" numFmtId="0" xfId="0" applyAlignment="1" applyBorder="1" applyFont="1">
      <alignment shrinkToFit="0" wrapText="1"/>
    </xf>
    <xf borderId="38" fillId="0" fontId="1" numFmtId="0" xfId="0" applyBorder="1" applyFont="1"/>
    <xf borderId="41" fillId="0" fontId="1" numFmtId="166" xfId="0" applyAlignment="1" applyBorder="1" applyFont="1" applyNumberFormat="1">
      <alignment horizontal="center"/>
    </xf>
    <xf borderId="0" fillId="0" fontId="11" numFmtId="0" xfId="0" applyFont="1"/>
    <xf borderId="41" fillId="0" fontId="1" numFmtId="0" xfId="0" applyAlignment="1" applyBorder="1" applyFont="1">
      <alignment horizontal="left"/>
    </xf>
    <xf borderId="42" fillId="0" fontId="1" numFmtId="49" xfId="0" applyBorder="1" applyFont="1" applyNumberFormat="1"/>
    <xf borderId="43" fillId="0" fontId="1" numFmtId="0" xfId="0" applyAlignment="1" applyBorder="1" applyFont="1">
      <alignment horizontal="left"/>
    </xf>
    <xf borderId="29" fillId="0" fontId="1" numFmtId="0" xfId="0" applyAlignment="1" applyBorder="1" applyFont="1">
      <alignment horizontal="left"/>
    </xf>
    <xf borderId="16" fillId="0" fontId="1" numFmtId="0" xfId="0" applyAlignment="1" applyBorder="1" applyFont="1">
      <alignment horizontal="left"/>
    </xf>
    <xf borderId="44" fillId="0" fontId="1" numFmtId="0" xfId="0" applyAlignment="1" applyBorder="1" applyFont="1">
      <alignment horizontal="left"/>
    </xf>
    <xf borderId="44" fillId="0" fontId="1" numFmtId="0" xfId="0" applyBorder="1" applyFont="1"/>
    <xf borderId="16" fillId="0" fontId="1" numFmtId="0" xfId="0" applyBorder="1" applyFont="1"/>
    <xf borderId="29" fillId="0" fontId="1" numFmtId="166" xfId="0" applyAlignment="1" applyBorder="1" applyFont="1" applyNumberFormat="1">
      <alignment horizontal="center"/>
    </xf>
    <xf borderId="45" fillId="0" fontId="1" numFmtId="0" xfId="0" applyBorder="1" applyFont="1"/>
    <xf borderId="28" fillId="0" fontId="12" numFmtId="0" xfId="0" applyBorder="1" applyFont="1"/>
    <xf borderId="28" fillId="0" fontId="1" numFmtId="0" xfId="0" applyAlignment="1" applyBorder="1" applyFont="1">
      <alignment horizontal="center"/>
    </xf>
    <xf borderId="5" fillId="0" fontId="1" numFmtId="0" xfId="0" applyAlignment="1" applyBorder="1" applyFont="1">
      <alignment horizontal="center"/>
    </xf>
    <xf borderId="28" fillId="0" fontId="1" numFmtId="0" xfId="0" applyAlignment="1" applyBorder="1" applyFont="1">
      <alignment shrinkToFit="0" wrapText="1"/>
    </xf>
    <xf borderId="0" fillId="0" fontId="3" numFmtId="0" xfId="0" applyFont="1"/>
    <xf borderId="0" fillId="0" fontId="3" numFmtId="0" xfId="0" applyAlignment="1" applyFont="1">
      <alignment horizontal="center"/>
    </xf>
    <xf borderId="0" fillId="0" fontId="1" numFmtId="0" xfId="0" applyAlignment="1" applyFont="1">
      <alignment shrinkToFit="0" wrapText="1"/>
    </xf>
    <xf borderId="0" fillId="0" fontId="13" numFmtId="0" xfId="0" applyFont="1"/>
    <xf borderId="25" fillId="0" fontId="1" numFmtId="0" xfId="0" applyAlignment="1" applyBorder="1" applyFont="1">
      <alignment horizontal="left" shrinkToFit="0" vertical="top" wrapText="1"/>
    </xf>
    <xf borderId="2" fillId="0" fontId="6" numFmtId="0" xfId="0" applyBorder="1" applyFont="1"/>
    <xf borderId="5" fillId="0" fontId="6" numFmtId="0" xfId="0" applyBorder="1" applyFont="1"/>
    <xf borderId="3" fillId="0" fontId="1" numFmtId="0" xfId="0" applyAlignment="1" applyBorder="1" applyFont="1">
      <alignment horizontal="left" shrinkToFit="0" vertical="center" wrapText="1"/>
    </xf>
    <xf borderId="6" fillId="0" fontId="14" numFmtId="0" xfId="0" applyAlignment="1" applyBorder="1" applyFont="1">
      <alignment horizontal="left" shrinkToFit="0" vertical="center" wrapText="1"/>
    </xf>
    <xf borderId="6" fillId="0" fontId="6" numFmtId="0" xfId="0" applyBorder="1" applyFont="1"/>
    <xf borderId="0" fillId="0" fontId="1" numFmtId="0" xfId="0" applyAlignment="1" applyFont="1">
      <alignment horizontal="left" shrinkToFit="0" vertical="center" wrapText="1"/>
    </xf>
    <xf borderId="0" fillId="0" fontId="14" numFmtId="0" xfId="0" applyAlignment="1" applyFont="1">
      <alignment horizontal="left" shrinkToFit="0" vertical="center" wrapText="1"/>
    </xf>
    <xf borderId="46" fillId="0" fontId="2" numFmtId="0" xfId="0" applyAlignment="1" applyBorder="1" applyFont="1">
      <alignment horizontal="center" shrinkToFit="0" wrapText="1"/>
    </xf>
    <xf borderId="47" fillId="0" fontId="6" numFmtId="0" xfId="0" applyBorder="1" applyFont="1"/>
    <xf borderId="47" fillId="0" fontId="2" numFmtId="0" xfId="0" applyAlignment="1" applyBorder="1" applyFont="1">
      <alignment horizontal="center" shrinkToFit="0" wrapText="1"/>
    </xf>
    <xf borderId="1" fillId="4" fontId="2" numFmtId="0" xfId="0" applyAlignment="1" applyBorder="1" applyFont="1">
      <alignment horizontal="center" shrinkToFit="0" textRotation="90" vertical="center" wrapText="1"/>
    </xf>
    <xf borderId="1" fillId="8" fontId="2" numFmtId="0" xfId="0" applyAlignment="1" applyBorder="1" applyFill="1" applyFont="1">
      <alignment horizontal="center" shrinkToFit="0" textRotation="90" vertical="center" wrapText="1"/>
    </xf>
    <xf borderId="1" fillId="9" fontId="2" numFmtId="0" xfId="0" applyAlignment="1" applyBorder="1" applyFill="1" applyFont="1">
      <alignment horizontal="center" shrinkToFit="0" textRotation="90" vertical="center" wrapText="1"/>
    </xf>
    <xf borderId="1" fillId="10" fontId="2" numFmtId="0" xfId="0" applyAlignment="1" applyBorder="1" applyFill="1" applyFont="1">
      <alignment horizontal="center" shrinkToFit="0" textRotation="90" vertical="center" wrapText="1"/>
    </xf>
    <xf borderId="1" fillId="11" fontId="2" numFmtId="0" xfId="0" applyAlignment="1" applyBorder="1" applyFill="1" applyFont="1">
      <alignment horizontal="center" shrinkToFit="0" textRotation="90" vertical="center" wrapText="1"/>
    </xf>
    <xf borderId="1" fillId="12" fontId="2" numFmtId="0" xfId="0" applyAlignment="1" applyBorder="1" applyFill="1" applyFont="1">
      <alignment horizontal="center" shrinkToFit="0" textRotation="90" vertical="center" wrapText="1"/>
    </xf>
    <xf borderId="1" fillId="13" fontId="2" numFmtId="0" xfId="0" applyAlignment="1" applyBorder="1" applyFill="1" applyFont="1">
      <alignment horizontal="center" shrinkToFit="0" textRotation="90" vertical="center" wrapText="1"/>
    </xf>
    <xf borderId="48" fillId="0" fontId="1" numFmtId="0" xfId="0" applyBorder="1" applyFont="1"/>
    <xf borderId="49" fillId="0" fontId="1" numFmtId="0" xfId="0" applyAlignment="1" applyBorder="1" applyFont="1">
      <alignment shrinkToFit="0" wrapText="1"/>
    </xf>
    <xf borderId="50" fillId="0" fontId="6" numFmtId="0" xfId="0" applyBorder="1" applyFont="1"/>
    <xf borderId="48" fillId="0" fontId="1" numFmtId="0" xfId="0" applyAlignment="1" applyBorder="1" applyFont="1">
      <alignment shrinkToFit="0" wrapText="1"/>
    </xf>
    <xf borderId="51" fillId="0" fontId="15" numFmtId="0" xfId="0" applyAlignment="1" applyBorder="1" applyFont="1">
      <alignment horizontal="center" shrinkToFit="0" textRotation="90" vertical="center" wrapText="1"/>
    </xf>
    <xf borderId="52" fillId="0" fontId="1" numFmtId="0" xfId="0" applyAlignment="1" applyBorder="1" applyFont="1">
      <alignment shrinkToFit="0" wrapText="1"/>
    </xf>
    <xf borderId="52" fillId="0" fontId="15" numFmtId="0" xfId="0" applyAlignment="1" applyBorder="1" applyFont="1">
      <alignment horizontal="center" shrinkToFit="0" textRotation="90" vertical="center" wrapText="1"/>
    </xf>
    <xf borderId="51" fillId="0" fontId="16" numFmtId="0" xfId="0" applyAlignment="1" applyBorder="1" applyFont="1">
      <alignment horizontal="center" shrinkToFit="0" textRotation="90" vertical="center" wrapText="1"/>
    </xf>
    <xf borderId="53" fillId="9" fontId="1" numFmtId="0" xfId="0" applyAlignment="1" applyBorder="1" applyFont="1">
      <alignment horizontal="left" shrinkToFit="0" vertical="center" wrapText="1"/>
    </xf>
    <xf borderId="54" fillId="9" fontId="1" numFmtId="0" xfId="0" applyAlignment="1" applyBorder="1" applyFont="1">
      <alignment horizontal="left" shrinkToFit="0" vertical="center" wrapText="1"/>
    </xf>
    <xf borderId="0" fillId="0" fontId="17" numFmtId="0" xfId="0" applyFont="1"/>
    <xf borderId="25" fillId="0" fontId="17" numFmtId="0" xfId="0" applyBorder="1" applyFont="1"/>
    <xf borderId="2" fillId="0" fontId="14" numFmtId="0" xfId="0" applyBorder="1" applyFont="1"/>
    <xf borderId="24" fillId="0" fontId="14" numFmtId="0" xfId="0" applyBorder="1" applyFont="1"/>
    <xf borderId="18" fillId="0" fontId="14" numFmtId="0" xfId="0" applyBorder="1" applyFont="1"/>
    <xf borderId="9" fillId="4" fontId="1" numFmtId="0" xfId="0" applyBorder="1" applyFont="1"/>
    <xf borderId="55" fillId="4" fontId="1" numFmtId="0" xfId="0" applyBorder="1" applyFont="1"/>
    <xf borderId="22" fillId="0" fontId="14" numFmtId="0" xfId="0" applyBorder="1" applyFont="1"/>
    <xf borderId="56" fillId="4" fontId="1" numFmtId="0" xfId="0" applyBorder="1" applyFont="1"/>
    <xf borderId="57" fillId="4" fontId="1" numFmtId="0" xfId="0" applyBorder="1" applyFont="1"/>
    <xf borderId="25" fillId="0" fontId="14" numFmtId="0" xfId="0" applyBorder="1" applyFont="1"/>
    <xf borderId="24" fillId="0" fontId="1" numFmtId="0" xfId="0" applyBorder="1" applyFont="1"/>
    <xf borderId="1" fillId="10" fontId="2" numFmtId="0" xfId="0" applyAlignment="1" applyBorder="1" applyFont="1">
      <alignment horizontal="center" shrinkToFit="0" vertical="center" wrapText="1"/>
    </xf>
    <xf borderId="3" fillId="10" fontId="2" numFmtId="0" xfId="0" applyAlignment="1" applyBorder="1" applyFont="1">
      <alignment horizontal="center" vertical="center"/>
    </xf>
    <xf borderId="35" fillId="3" fontId="18" numFmtId="0" xfId="0" applyAlignment="1" applyBorder="1" applyFont="1">
      <alignment horizontal="center"/>
    </xf>
    <xf borderId="18" fillId="0" fontId="1" numFmtId="0" xfId="0" applyAlignment="1" applyBorder="1" applyFont="1">
      <alignment shrinkToFit="0" wrapText="1"/>
    </xf>
    <xf borderId="58" fillId="4" fontId="18" numFmtId="0" xfId="0" applyAlignment="1" applyBorder="1" applyFont="1">
      <alignment horizontal="center"/>
    </xf>
    <xf borderId="58" fillId="5" fontId="18" numFmtId="0" xfId="0" applyAlignment="1" applyBorder="1" applyFont="1">
      <alignment horizontal="center"/>
    </xf>
    <xf borderId="59" fillId="6" fontId="19" numFmtId="0" xfId="0" applyAlignment="1" applyBorder="1" applyFont="1">
      <alignment horizontal="center"/>
    </xf>
    <xf borderId="1" fillId="11" fontId="2" numFmtId="0" xfId="0" applyAlignment="1" applyBorder="1" applyFont="1">
      <alignment horizontal="center" shrinkToFit="0" vertical="center" wrapText="1"/>
    </xf>
    <xf borderId="3" fillId="11" fontId="2" numFmtId="0" xfId="0" applyAlignment="1" applyBorder="1" applyFont="1">
      <alignment horizontal="center" shrinkToFit="0" vertical="center" wrapText="1"/>
    </xf>
    <xf borderId="1" fillId="12" fontId="2" numFmtId="0" xfId="0" applyAlignment="1" applyBorder="1" applyFont="1">
      <alignment horizontal="center" shrinkToFit="0" vertical="center" wrapText="1"/>
    </xf>
    <xf borderId="3" fillId="12" fontId="2" numFmtId="0" xfId="0" applyAlignment="1" applyBorder="1" applyFont="1">
      <alignment horizontal="center" shrinkToFit="0" vertical="center" wrapText="1"/>
    </xf>
  </cellXfs>
  <cellStyles count="1">
    <cellStyle xfId="0" name="Normal" builtinId="0"/>
  </cellStyles>
  <dxfs count="8">
    <dxf>
      <font/>
      <fill>
        <patternFill patternType="solid">
          <fgColor rgb="FFFF0000"/>
          <bgColor rgb="FFFF0000"/>
        </patternFill>
      </fill>
      <border/>
    </dxf>
    <dxf>
      <font>
        <color rgb="FF000000"/>
      </font>
      <fill>
        <patternFill patternType="solid">
          <fgColor rgb="FF000000"/>
          <bgColor rgb="FF000000"/>
        </patternFill>
      </fill>
      <border/>
    </dxf>
    <dxf>
      <font>
        <color rgb="FFFF0000"/>
      </font>
      <fill>
        <patternFill patternType="solid">
          <fgColor rgb="FFFF0000"/>
          <bgColor rgb="FFFF0000"/>
        </patternFill>
      </fill>
      <border/>
    </dxf>
    <dxf>
      <font>
        <color rgb="FF00FF00"/>
      </font>
      <fill>
        <patternFill patternType="solid">
          <fgColor rgb="FF00FF00"/>
          <bgColor rgb="FF00FF00"/>
        </patternFill>
      </fill>
      <border/>
    </dxf>
    <dxf>
      <font>
        <color rgb="FF000000"/>
      </font>
      <fill>
        <patternFill patternType="solid">
          <fgColor rgb="FFFF0000"/>
          <bgColor rgb="FFFF0000"/>
        </patternFill>
      </fill>
      <border/>
    </dxf>
    <dxf>
      <font>
        <color rgb="FFFF0000"/>
      </font>
      <fill>
        <patternFill patternType="solid">
          <fgColor rgb="FFFFFF00"/>
          <bgColor rgb="FFFFFF00"/>
        </patternFill>
      </fill>
      <border/>
    </dxf>
    <dxf>
      <font>
        <color rgb="FFFF6600"/>
      </font>
      <fill>
        <patternFill patternType="none"/>
      </fill>
      <border/>
    </dxf>
    <dxf>
      <font/>
      <fill>
        <patternFill patternType="solid">
          <fgColor rgb="FFFFFF99"/>
          <bgColor rgb="FFFFFF99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0</xdr:colOff>
      <xdr:row>10</xdr:row>
      <xdr:rowOff>0</xdr:rowOff>
    </xdr:from>
    <xdr:ext cx="2905125" cy="533400"/>
    <xdr:sp>
      <xdr:nvSpPr>
        <xdr:cNvPr id="3" name="Shape 3"/>
        <xdr:cNvSpPr/>
      </xdr:nvSpPr>
      <xdr:spPr>
        <a:xfrm>
          <a:off x="3898200" y="3518063"/>
          <a:ext cx="2895600" cy="523875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10</xdr:row>
      <xdr:rowOff>0</xdr:rowOff>
    </xdr:from>
    <xdr:ext cx="2867025" cy="533400"/>
    <xdr:sp>
      <xdr:nvSpPr>
        <xdr:cNvPr id="4" name="Shape 4"/>
        <xdr:cNvSpPr/>
      </xdr:nvSpPr>
      <xdr:spPr>
        <a:xfrm>
          <a:off x="3917250" y="3518063"/>
          <a:ext cx="2857500" cy="523875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323850</xdr:colOff>
      <xdr:row>10</xdr:row>
      <xdr:rowOff>114300</xdr:rowOff>
    </xdr:from>
    <xdr:ext cx="1885950" cy="304800"/>
    <xdr:sp>
      <xdr:nvSpPr>
        <xdr:cNvPr id="5" name="Shape 5"/>
        <xdr:cNvSpPr/>
      </xdr:nvSpPr>
      <xdr:spPr>
        <a:xfrm>
          <a:off x="4407788" y="3632363"/>
          <a:ext cx="1876425" cy="2952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PROZESS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1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ESS</a:t>
          </a:r>
          <a:endParaRPr sz="1400"/>
        </a:p>
      </xdr:txBody>
    </xdr:sp>
    <xdr:clientData fLocksWithSheet="0"/>
  </xdr:oneCellAnchor>
  <xdr:oneCellAnchor>
    <xdr:from>
      <xdr:col>4</xdr:col>
      <xdr:colOff>0</xdr:colOff>
      <xdr:row>10</xdr:row>
      <xdr:rowOff>38100</xdr:rowOff>
    </xdr:from>
    <xdr:ext cx="2486025" cy="504825"/>
    <xdr:sp>
      <xdr:nvSpPr>
        <xdr:cNvPr id="6" name="Shape 6"/>
        <xdr:cNvSpPr/>
      </xdr:nvSpPr>
      <xdr:spPr>
        <a:xfrm>
          <a:off x="4107750" y="3532350"/>
          <a:ext cx="2476500" cy="4953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PROZESS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DOKUMENTATION</a:t>
          </a:r>
          <a:endParaRPr sz="1400"/>
        </a:p>
      </xdr:txBody>
    </xdr:sp>
    <xdr:clientData fLocksWithSheet="0"/>
  </xdr:oneCellAnchor>
  <xdr:oneCellAnchor>
    <xdr:from>
      <xdr:col>8</xdr:col>
      <xdr:colOff>0</xdr:colOff>
      <xdr:row>10</xdr:row>
      <xdr:rowOff>0</xdr:rowOff>
    </xdr:from>
    <xdr:ext cx="2266950" cy="533400"/>
    <xdr:sp>
      <xdr:nvSpPr>
        <xdr:cNvPr id="7" name="Shape 7"/>
        <xdr:cNvSpPr/>
      </xdr:nvSpPr>
      <xdr:spPr>
        <a:xfrm>
          <a:off x="4217288" y="3518063"/>
          <a:ext cx="2257425" cy="523875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8</xdr:col>
      <xdr:colOff>190500</xdr:colOff>
      <xdr:row>10</xdr:row>
      <xdr:rowOff>0</xdr:rowOff>
    </xdr:from>
    <xdr:ext cx="1419225" cy="495300"/>
    <xdr:sp>
      <xdr:nvSpPr>
        <xdr:cNvPr id="8" name="Shape 8"/>
        <xdr:cNvSpPr/>
      </xdr:nvSpPr>
      <xdr:spPr>
        <a:xfrm>
          <a:off x="4641150" y="3537113"/>
          <a:ext cx="1409700" cy="4857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VERANTWORTUNG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(Process owner)</a:t>
          </a:r>
          <a:endParaRPr sz="1400"/>
        </a:p>
      </xdr:txBody>
    </xdr:sp>
    <xdr:clientData fLocksWithSheet="0"/>
  </xdr:oneCellAnchor>
  <xdr:oneCellAnchor>
    <xdr:from>
      <xdr:col>8</xdr:col>
      <xdr:colOff>0</xdr:colOff>
      <xdr:row>10</xdr:row>
      <xdr:rowOff>0</xdr:rowOff>
    </xdr:from>
    <xdr:ext cx="2266950" cy="533400"/>
    <xdr:sp>
      <xdr:nvSpPr>
        <xdr:cNvPr id="7" name="Shape 7"/>
        <xdr:cNvSpPr/>
      </xdr:nvSpPr>
      <xdr:spPr>
        <a:xfrm>
          <a:off x="4217288" y="3518063"/>
          <a:ext cx="2257425" cy="523875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8</xdr:col>
      <xdr:colOff>0</xdr:colOff>
      <xdr:row>10</xdr:row>
      <xdr:rowOff>9525</xdr:rowOff>
    </xdr:from>
    <xdr:ext cx="1762125" cy="504825"/>
    <xdr:sp>
      <xdr:nvSpPr>
        <xdr:cNvPr id="9" name="Shape 9"/>
        <xdr:cNvSpPr/>
      </xdr:nvSpPr>
      <xdr:spPr>
        <a:xfrm>
          <a:off x="4469700" y="3532350"/>
          <a:ext cx="1752600" cy="4953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VERANTWORTUNG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(Process owner)</a:t>
          </a:r>
          <a:endParaRPr sz="1400"/>
        </a:p>
      </xdr:txBody>
    </xdr:sp>
    <xdr:clientData fLocksWithSheet="0"/>
  </xdr:oneCellAnchor>
  <xdr:oneCellAnchor>
    <xdr:from>
      <xdr:col>11</xdr:col>
      <xdr:colOff>0</xdr:colOff>
      <xdr:row>10</xdr:row>
      <xdr:rowOff>0</xdr:rowOff>
    </xdr:from>
    <xdr:ext cx="1990725" cy="533400"/>
    <xdr:sp>
      <xdr:nvSpPr>
        <xdr:cNvPr id="10" name="Shape 10"/>
        <xdr:cNvSpPr/>
      </xdr:nvSpPr>
      <xdr:spPr>
        <a:xfrm>
          <a:off x="4355400" y="3518063"/>
          <a:ext cx="1981200" cy="523875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11</xdr:col>
      <xdr:colOff>38100</xdr:colOff>
      <xdr:row>10</xdr:row>
      <xdr:rowOff>38100</xdr:rowOff>
    </xdr:from>
    <xdr:ext cx="1381125" cy="466725"/>
    <xdr:sp>
      <xdr:nvSpPr>
        <xdr:cNvPr id="11" name="Shape 11"/>
        <xdr:cNvSpPr/>
      </xdr:nvSpPr>
      <xdr:spPr>
        <a:xfrm>
          <a:off x="4660200" y="3551400"/>
          <a:ext cx="1371600" cy="4572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PROCESS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RISIKOANALYSE</a:t>
          </a:r>
          <a:endParaRPr sz="1400"/>
        </a:p>
      </xdr:txBody>
    </xdr:sp>
    <xdr:clientData fLocksWithSheet="0"/>
  </xdr:oneCellAnchor>
  <xdr:oneCellAnchor>
    <xdr:from>
      <xdr:col>11</xdr:col>
      <xdr:colOff>0</xdr:colOff>
      <xdr:row>10</xdr:row>
      <xdr:rowOff>0</xdr:rowOff>
    </xdr:from>
    <xdr:ext cx="1990725" cy="533400"/>
    <xdr:sp>
      <xdr:nvSpPr>
        <xdr:cNvPr id="10" name="Shape 10"/>
        <xdr:cNvSpPr/>
      </xdr:nvSpPr>
      <xdr:spPr>
        <a:xfrm>
          <a:off x="4355400" y="3518063"/>
          <a:ext cx="1981200" cy="523875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11</xdr:col>
      <xdr:colOff>38100</xdr:colOff>
      <xdr:row>10</xdr:row>
      <xdr:rowOff>38100</xdr:rowOff>
    </xdr:from>
    <xdr:ext cx="1381125" cy="466725"/>
    <xdr:sp>
      <xdr:nvSpPr>
        <xdr:cNvPr id="12" name="Shape 12"/>
        <xdr:cNvSpPr/>
      </xdr:nvSpPr>
      <xdr:spPr>
        <a:xfrm>
          <a:off x="4660200" y="3551400"/>
          <a:ext cx="1371600" cy="4572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PROZESS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RISIKOANALYSE</a:t>
          </a:r>
          <a:endParaRPr sz="1400"/>
        </a:p>
      </xdr:txBody>
    </xdr:sp>
    <xdr:clientData fLocksWithSheet="0"/>
  </xdr:oneCellAnchor>
  <xdr:oneCellAnchor>
    <xdr:from>
      <xdr:col>14</xdr:col>
      <xdr:colOff>0</xdr:colOff>
      <xdr:row>10</xdr:row>
      <xdr:rowOff>0</xdr:rowOff>
    </xdr:from>
    <xdr:ext cx="2076450" cy="533400"/>
    <xdr:sp>
      <xdr:nvSpPr>
        <xdr:cNvPr id="13" name="Shape 13"/>
        <xdr:cNvSpPr/>
      </xdr:nvSpPr>
      <xdr:spPr>
        <a:xfrm>
          <a:off x="4312538" y="3518063"/>
          <a:ext cx="2066925" cy="523875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14</xdr:col>
      <xdr:colOff>0</xdr:colOff>
      <xdr:row>10</xdr:row>
      <xdr:rowOff>38100</xdr:rowOff>
    </xdr:from>
    <xdr:ext cx="1638300" cy="438150"/>
    <xdr:sp>
      <xdr:nvSpPr>
        <xdr:cNvPr id="14" name="Shape 14"/>
        <xdr:cNvSpPr/>
      </xdr:nvSpPr>
      <xdr:spPr>
        <a:xfrm>
          <a:off x="4531613" y="3565688"/>
          <a:ext cx="1628775" cy="4286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TEST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STATUS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.63"/>
    <col customWidth="1" min="2" max="2" width="9.38"/>
    <col customWidth="1" min="3" max="3" width="44.5"/>
    <col customWidth="1" min="4" max="26" width="9.38"/>
  </cols>
  <sheetData>
    <row r="1" ht="12.0" customHeight="1">
      <c r="B1" s="1"/>
      <c r="C1" s="1"/>
      <c r="D1" s="1"/>
      <c r="E1" s="1"/>
      <c r="F1" s="1"/>
      <c r="G1" s="1"/>
    </row>
    <row r="2" ht="12.0" customHeight="1">
      <c r="B2" s="2" t="s">
        <v>0</v>
      </c>
      <c r="C2" s="3">
        <v>45023.0</v>
      </c>
      <c r="D2" s="4"/>
      <c r="E2" s="4"/>
      <c r="F2" s="4"/>
      <c r="G2" s="5" t="s">
        <v>1</v>
      </c>
    </row>
    <row r="3" ht="12.0" customHeight="1">
      <c r="B3" s="6" t="s">
        <v>2</v>
      </c>
      <c r="C3" s="7"/>
      <c r="D3" s="8" t="s">
        <v>3</v>
      </c>
      <c r="E3" s="9"/>
      <c r="F3" s="9" t="s">
        <v>4</v>
      </c>
      <c r="G3" s="2" t="s">
        <v>5</v>
      </c>
    </row>
    <row r="4" ht="12.0" customHeight="1"/>
    <row r="5" ht="12.0" customHeight="1">
      <c r="B5" s="1"/>
      <c r="C5" s="1"/>
      <c r="D5" s="1"/>
      <c r="E5" s="1"/>
      <c r="F5" s="1"/>
      <c r="G5" s="1"/>
    </row>
    <row r="6" ht="12.0" customHeight="1">
      <c r="B6" s="10" t="s">
        <v>6</v>
      </c>
      <c r="C6" s="11" t="s">
        <v>2</v>
      </c>
      <c r="D6" s="11"/>
      <c r="E6" s="11"/>
      <c r="F6" s="11"/>
      <c r="G6" s="7"/>
    </row>
    <row r="7" ht="12.0" customHeight="1">
      <c r="B7" s="10" t="s">
        <v>7</v>
      </c>
      <c r="C7" s="11" t="s">
        <v>8</v>
      </c>
      <c r="D7" s="11"/>
      <c r="E7" s="11"/>
      <c r="F7" s="11"/>
      <c r="G7" s="7"/>
    </row>
    <row r="8" ht="12.0" customHeight="1">
      <c r="B8" s="10" t="s">
        <v>9</v>
      </c>
      <c r="C8" s="11" t="s">
        <v>10</v>
      </c>
      <c r="D8" s="11"/>
      <c r="E8" s="11"/>
      <c r="F8" s="11"/>
      <c r="G8" s="7"/>
    </row>
    <row r="9" ht="12.0" customHeight="1"/>
    <row r="10" ht="12.0" customHeight="1">
      <c r="B10" s="1"/>
      <c r="C10" s="1"/>
      <c r="D10" s="1"/>
      <c r="E10" s="1"/>
      <c r="F10" s="1"/>
      <c r="G10" s="1"/>
    </row>
    <row r="11" ht="12.0" customHeight="1">
      <c r="B11" s="10" t="s">
        <v>11</v>
      </c>
      <c r="C11" s="10" t="s">
        <v>12</v>
      </c>
      <c r="D11" s="12" t="s">
        <v>13</v>
      </c>
      <c r="E11" s="12"/>
      <c r="F11" s="12"/>
      <c r="G11" s="10" t="s">
        <v>14</v>
      </c>
    </row>
    <row r="12" ht="12.0" customHeight="1">
      <c r="B12" s="2" t="s">
        <v>15</v>
      </c>
      <c r="C12" s="2" t="s">
        <v>16</v>
      </c>
      <c r="D12" s="11" t="s">
        <v>17</v>
      </c>
      <c r="E12" s="11"/>
      <c r="F12" s="11"/>
      <c r="G12" s="3">
        <v>45019.0</v>
      </c>
    </row>
    <row r="13" ht="12.0" customHeight="1">
      <c r="B13" s="2" t="s">
        <v>18</v>
      </c>
      <c r="C13" s="2" t="s">
        <v>16</v>
      </c>
      <c r="D13" s="11" t="s">
        <v>19</v>
      </c>
      <c r="E13" s="11"/>
      <c r="F13" s="11"/>
      <c r="G13" s="13">
        <v>45023.0</v>
      </c>
    </row>
    <row r="14" ht="12.0" customHeight="1">
      <c r="B14" s="2" t="s">
        <v>18</v>
      </c>
      <c r="C14" s="2" t="s">
        <v>16</v>
      </c>
      <c r="D14" s="11" t="s">
        <v>20</v>
      </c>
      <c r="E14" s="11"/>
      <c r="F14" s="11"/>
      <c r="G14" s="13">
        <v>45029.0</v>
      </c>
    </row>
    <row r="15" ht="12.0" customHeight="1">
      <c r="B15" s="14"/>
      <c r="C15" s="2"/>
      <c r="D15" s="11"/>
      <c r="E15" s="11"/>
      <c r="F15" s="11"/>
      <c r="G15" s="3"/>
    </row>
    <row r="16" ht="12.0" customHeight="1">
      <c r="B16" s="14"/>
      <c r="C16" s="2"/>
      <c r="D16" s="11"/>
      <c r="E16" s="11"/>
      <c r="F16" s="11"/>
      <c r="G16" s="3"/>
    </row>
    <row r="17" ht="12.0" customHeight="1">
      <c r="B17" s="14"/>
      <c r="C17" s="2"/>
      <c r="D17" s="11"/>
      <c r="E17" s="11"/>
      <c r="F17" s="11"/>
      <c r="G17" s="3"/>
    </row>
    <row r="18" ht="12.0" customHeight="1">
      <c r="B18" s="14"/>
      <c r="C18" s="2"/>
      <c r="D18" s="11"/>
      <c r="E18" s="11"/>
      <c r="F18" s="11"/>
      <c r="G18" s="3"/>
    </row>
    <row r="19" ht="12.0" customHeight="1"/>
    <row r="20" ht="12.0" customHeight="1"/>
    <row r="21" ht="12.0" customHeight="1"/>
    <row r="22" ht="12.0" customHeight="1">
      <c r="B22" s="15" t="s">
        <v>21</v>
      </c>
      <c r="C22" s="16"/>
      <c r="D22" s="17"/>
    </row>
    <row r="23" ht="12.0" customHeight="1">
      <c r="B23" s="18" t="s">
        <v>22</v>
      </c>
      <c r="C23" s="16"/>
      <c r="D23" s="16"/>
    </row>
    <row r="24" ht="12.0" customHeight="1">
      <c r="B24" s="18" t="s">
        <v>23</v>
      </c>
      <c r="C24" s="16"/>
      <c r="D24" s="16"/>
    </row>
    <row r="25" ht="12.0" customHeight="1">
      <c r="B25" s="18" t="s">
        <v>24</v>
      </c>
      <c r="C25" s="16"/>
      <c r="D25" s="16"/>
    </row>
    <row r="26" ht="12.0" customHeight="1">
      <c r="B26" s="18" t="s">
        <v>25</v>
      </c>
      <c r="C26" s="16"/>
      <c r="D26" s="16"/>
    </row>
    <row r="27" ht="12.0" customHeight="1">
      <c r="B27" s="16"/>
      <c r="C27" s="16"/>
      <c r="D27" s="16"/>
    </row>
    <row r="28" ht="12.0" customHeight="1"/>
    <row r="29" ht="12.0" customHeight="1"/>
    <row r="30" ht="12.0" customHeight="1"/>
    <row r="31" ht="12.0" customHeight="1"/>
    <row r="32" ht="12.0" customHeight="1"/>
    <row r="33" ht="12.0" customHeight="1"/>
    <row r="34" ht="12.0" customHeight="1"/>
    <row r="35" ht="12.0" customHeight="1"/>
    <row r="36" ht="12.0" customHeight="1"/>
    <row r="37" ht="12.0" customHeight="1"/>
    <row r="38" ht="12.0" customHeight="1"/>
    <row r="39" ht="12.0" customHeight="1"/>
    <row r="40" ht="12.0" customHeight="1"/>
    <row r="41" ht="12.0" customHeight="1"/>
    <row r="42" ht="12.0" customHeight="1"/>
    <row r="43" ht="12.0" customHeight="1"/>
    <row r="44" ht="12.0" customHeight="1"/>
    <row r="45" ht="12.0" customHeight="1"/>
    <row r="46" ht="12.0" customHeight="1"/>
    <row r="47" ht="12.0" customHeight="1"/>
    <row r="48" ht="12.0" customHeight="1"/>
    <row r="49" ht="12.0" customHeight="1"/>
    <row r="50" ht="12.0" customHeight="1"/>
    <row r="51" ht="12.0" customHeight="1"/>
    <row r="52" ht="12.0" customHeight="1"/>
    <row r="53" ht="12.0" customHeight="1"/>
    <row r="54" ht="12.0" customHeight="1"/>
    <row r="55" ht="12.0" customHeight="1"/>
    <row r="56" ht="12.0" customHeight="1"/>
    <row r="57" ht="12.0" customHeight="1"/>
    <row r="58" ht="12.0" customHeight="1"/>
    <row r="59" ht="12.0" customHeight="1"/>
    <row r="60" ht="12.0" customHeight="1"/>
    <row r="61" ht="12.0" customHeight="1"/>
    <row r="62" ht="12.0" customHeight="1"/>
    <row r="63" ht="12.0" customHeight="1"/>
    <row r="64" ht="12.0" customHeight="1"/>
    <row r="65" ht="12.0" customHeight="1"/>
    <row r="66" ht="12.0" customHeight="1"/>
    <row r="67" ht="12.0" customHeight="1"/>
    <row r="68" ht="12.0" customHeight="1"/>
    <row r="69" ht="12.0" customHeight="1"/>
    <row r="70" ht="12.0" customHeight="1"/>
    <row r="71" ht="12.0" customHeight="1"/>
    <row r="72" ht="12.0" customHeight="1"/>
    <row r="73" ht="12.0" customHeight="1"/>
    <row r="74" ht="12.0" customHeight="1"/>
    <row r="75" ht="12.0" customHeight="1"/>
    <row r="76" ht="12.0" customHeight="1"/>
    <row r="77" ht="12.0" customHeight="1"/>
    <row r="78" ht="12.0" customHeight="1"/>
    <row r="79" ht="12.0" customHeight="1"/>
    <row r="80" ht="12.0" customHeight="1"/>
    <row r="81" ht="12.0" customHeight="1"/>
    <row r="82" ht="12.0" customHeight="1"/>
    <row r="83" ht="12.0" customHeight="1"/>
    <row r="84" ht="12.0" customHeight="1"/>
    <row r="85" ht="12.0" customHeight="1"/>
    <row r="86" ht="12.0" customHeight="1"/>
    <row r="87" ht="12.0" customHeight="1"/>
    <row r="88" ht="12.0" customHeight="1"/>
    <row r="89" ht="12.0" customHeight="1"/>
    <row r="90" ht="12.0" customHeight="1"/>
    <row r="91" ht="12.0" customHeight="1"/>
    <row r="92" ht="12.0" customHeight="1"/>
    <row r="93" ht="12.0" customHeight="1"/>
    <row r="94" ht="12.0" customHeight="1"/>
    <row r="95" ht="12.0" customHeight="1"/>
    <row r="96" ht="12.0" customHeight="1"/>
    <row r="97" ht="12.0" customHeight="1"/>
    <row r="98" ht="12.0" customHeight="1"/>
    <row r="99" ht="12.0" customHeight="1"/>
    <row r="100" ht="12.0" customHeight="1"/>
    <row r="101" ht="12.0" customHeight="1"/>
    <row r="102" ht="12.0" customHeight="1"/>
    <row r="103" ht="12.0" customHeight="1"/>
    <row r="104" ht="12.0" customHeight="1"/>
    <row r="105" ht="12.0" customHeight="1"/>
    <row r="106" ht="12.0" customHeight="1"/>
    <row r="107" ht="12.0" customHeight="1"/>
    <row r="108" ht="12.0" customHeight="1"/>
    <row r="109" ht="12.0" customHeight="1"/>
    <row r="110" ht="12.0" customHeight="1"/>
    <row r="111" ht="12.0" customHeight="1"/>
    <row r="112" ht="12.0" customHeight="1"/>
    <row r="113" ht="12.0" customHeight="1"/>
    <row r="114" ht="12.0" customHeight="1"/>
    <row r="115" ht="12.0" customHeight="1"/>
    <row r="116" ht="12.0" customHeight="1"/>
    <row r="117" ht="12.0" customHeight="1"/>
    <row r="118" ht="12.0" customHeight="1"/>
    <row r="119" ht="12.0" customHeight="1"/>
    <row r="120" ht="12.0" customHeight="1"/>
    <row r="121" ht="12.0" customHeight="1"/>
    <row r="122" ht="12.0" customHeight="1"/>
    <row r="123" ht="12.0" customHeight="1"/>
    <row r="124" ht="12.0" customHeight="1"/>
    <row r="125" ht="12.0" customHeight="1"/>
    <row r="126" ht="12.0" customHeight="1"/>
    <row r="127" ht="12.0" customHeight="1"/>
    <row r="128" ht="12.0" customHeight="1"/>
    <row r="129" ht="12.0" customHeight="1"/>
    <row r="130" ht="12.0" customHeight="1"/>
    <row r="131" ht="12.0" customHeight="1"/>
    <row r="132" ht="12.0" customHeight="1"/>
    <row r="133" ht="12.0" customHeight="1"/>
    <row r="134" ht="12.0" customHeight="1"/>
    <row r="135" ht="12.0" customHeight="1"/>
    <row r="136" ht="12.0" customHeight="1"/>
    <row r="137" ht="12.0" customHeight="1"/>
    <row r="138" ht="12.0" customHeight="1"/>
    <row r="139" ht="12.0" customHeight="1"/>
    <row r="140" ht="12.0" customHeight="1"/>
    <row r="141" ht="12.0" customHeight="1"/>
    <row r="142" ht="12.0" customHeight="1"/>
    <row r="143" ht="12.0" customHeight="1"/>
    <row r="144" ht="12.0" customHeight="1"/>
    <row r="145" ht="12.0" customHeight="1"/>
    <row r="146" ht="12.0" customHeight="1"/>
    <row r="147" ht="12.0" customHeight="1"/>
    <row r="148" ht="12.0" customHeight="1"/>
    <row r="149" ht="12.0" customHeight="1"/>
    <row r="150" ht="12.0" customHeight="1"/>
    <row r="151" ht="12.0" customHeight="1"/>
    <row r="152" ht="12.0" customHeight="1"/>
    <row r="153" ht="12.0" customHeight="1"/>
    <row r="154" ht="12.0" customHeight="1"/>
    <row r="155" ht="12.0" customHeight="1"/>
    <row r="156" ht="12.0" customHeight="1"/>
    <row r="157" ht="12.0" customHeight="1"/>
    <row r="158" ht="12.0" customHeight="1"/>
    <row r="159" ht="12.0" customHeight="1"/>
    <row r="160" ht="12.0" customHeight="1"/>
    <row r="161" ht="12.0" customHeight="1"/>
    <row r="162" ht="12.0" customHeight="1"/>
    <row r="163" ht="12.0" customHeight="1"/>
    <row r="164" ht="12.0" customHeight="1"/>
    <row r="165" ht="12.0" customHeight="1"/>
    <row r="166" ht="12.0" customHeight="1"/>
    <row r="167" ht="12.0" customHeight="1"/>
    <row r="168" ht="12.0" customHeight="1"/>
    <row r="169" ht="12.0" customHeight="1"/>
    <row r="170" ht="12.0" customHeight="1"/>
    <row r="171" ht="12.0" customHeight="1"/>
    <row r="172" ht="12.0" customHeight="1"/>
    <row r="173" ht="12.0" customHeight="1"/>
    <row r="174" ht="12.0" customHeight="1"/>
    <row r="175" ht="12.0" customHeight="1"/>
    <row r="176" ht="12.0" customHeight="1"/>
    <row r="177" ht="12.0" customHeight="1"/>
    <row r="178" ht="12.0" customHeight="1"/>
    <row r="179" ht="12.0" customHeight="1"/>
    <row r="180" ht="12.0" customHeight="1"/>
    <row r="181" ht="12.0" customHeight="1"/>
    <row r="182" ht="12.0" customHeight="1"/>
    <row r="183" ht="12.0" customHeight="1"/>
    <row r="184" ht="12.0" customHeight="1"/>
    <row r="185" ht="12.0" customHeight="1"/>
    <row r="186" ht="12.0" customHeight="1"/>
    <row r="187" ht="12.0" customHeight="1"/>
    <row r="188" ht="12.0" customHeight="1"/>
    <row r="189" ht="12.0" customHeight="1"/>
    <row r="190" ht="12.0" customHeight="1"/>
    <row r="191" ht="12.0" customHeight="1"/>
    <row r="192" ht="12.0" customHeight="1"/>
    <row r="193" ht="12.0" customHeight="1"/>
    <row r="194" ht="12.0" customHeight="1"/>
    <row r="195" ht="12.0" customHeight="1"/>
    <row r="196" ht="12.0" customHeight="1"/>
    <row r="197" ht="12.0" customHeight="1"/>
    <row r="198" ht="12.0" customHeight="1"/>
    <row r="199" ht="12.0" customHeight="1"/>
    <row r="200" ht="12.0" customHeight="1"/>
    <row r="201" ht="12.0" customHeight="1"/>
    <row r="202" ht="12.0" customHeight="1"/>
    <row r="203" ht="12.0" customHeight="1"/>
    <row r="204" ht="12.0" customHeight="1"/>
    <row r="205" ht="12.0" customHeight="1"/>
    <row r="206" ht="12.0" customHeight="1"/>
    <row r="207" ht="12.0" customHeight="1"/>
    <row r="208" ht="12.0" customHeight="1"/>
    <row r="209" ht="12.0" customHeight="1"/>
    <row r="210" ht="12.0" customHeight="1"/>
    <row r="211" ht="12.0" customHeight="1"/>
    <row r="212" ht="12.0" customHeight="1"/>
    <row r="213" ht="12.0" customHeight="1"/>
    <row r="214" ht="12.0" customHeight="1"/>
    <row r="215" ht="12.0" customHeight="1"/>
    <row r="216" ht="12.0" customHeight="1"/>
    <row r="217" ht="12.0" customHeight="1"/>
    <row r="218" ht="12.0" customHeight="1"/>
    <row r="219" ht="12.0" customHeight="1"/>
    <row r="220" ht="12.0" customHeight="1"/>
    <row r="221" ht="12.0" customHeight="1"/>
    <row r="222" ht="12.0" customHeight="1"/>
    <row r="223" ht="12.0" customHeight="1"/>
    <row r="224" ht="12.0" customHeight="1"/>
    <row r="225" ht="12.0" customHeight="1"/>
    <row r="226" ht="12.0" customHeight="1"/>
    <row r="227" ht="12.0" customHeight="1"/>
    <row r="228" ht="12.0" customHeight="1"/>
    <row r="229" ht="12.0" customHeight="1"/>
    <row r="230" ht="12.0" customHeight="1"/>
    <row r="231" ht="12.0" customHeight="1"/>
    <row r="232" ht="12.0" customHeight="1"/>
    <row r="233" ht="12.0" customHeight="1"/>
    <row r="234" ht="12.0" customHeight="1"/>
    <row r="235" ht="12.0" customHeight="1"/>
    <row r="236" ht="12.0" customHeight="1"/>
    <row r="237" ht="12.0" customHeight="1"/>
    <row r="238" ht="12.0" customHeight="1"/>
    <row r="239" ht="12.0" customHeight="1"/>
    <row r="240" ht="12.0" customHeight="1"/>
    <row r="241" ht="12.0" customHeight="1"/>
    <row r="242" ht="12.0" customHeight="1"/>
    <row r="243" ht="12.0" customHeight="1"/>
    <row r="244" ht="12.0" customHeight="1"/>
    <row r="245" ht="12.0" customHeight="1"/>
    <row r="246" ht="12.0" customHeight="1"/>
    <row r="247" ht="12.0" customHeight="1"/>
    <row r="248" ht="12.0" customHeight="1"/>
    <row r="249" ht="12.0" customHeight="1"/>
    <row r="250" ht="12.0" customHeight="1"/>
    <row r="251" ht="12.0" customHeight="1"/>
    <row r="252" ht="12.0" customHeight="1"/>
    <row r="253" ht="12.0" customHeight="1"/>
    <row r="254" ht="12.0" customHeight="1"/>
    <row r="255" ht="12.0" customHeight="1"/>
    <row r="256" ht="12.0" customHeight="1"/>
    <row r="257" ht="12.0" customHeight="1"/>
    <row r="258" ht="12.0" customHeight="1"/>
    <row r="259" ht="12.0" customHeight="1"/>
    <row r="260" ht="12.0" customHeight="1"/>
    <row r="261" ht="12.0" customHeight="1"/>
    <row r="262" ht="12.0" customHeight="1"/>
    <row r="263" ht="12.0" customHeight="1"/>
    <row r="264" ht="12.0" customHeight="1"/>
    <row r="265" ht="12.0" customHeight="1"/>
    <row r="266" ht="12.0" customHeight="1"/>
    <row r="267" ht="12.0" customHeight="1"/>
    <row r="268" ht="12.0" customHeight="1"/>
    <row r="269" ht="12.0" customHeight="1"/>
    <row r="270" ht="12.0" customHeight="1"/>
    <row r="271" ht="12.0" customHeight="1"/>
    <row r="272" ht="12.0" customHeight="1"/>
    <row r="273" ht="12.0" customHeight="1"/>
    <row r="274" ht="12.0" customHeight="1"/>
    <row r="275" ht="12.0" customHeight="1"/>
    <row r="276" ht="12.0" customHeight="1"/>
    <row r="277" ht="12.0" customHeight="1"/>
    <row r="278" ht="12.0" customHeight="1"/>
    <row r="279" ht="12.0" customHeight="1"/>
    <row r="280" ht="12.0" customHeight="1"/>
    <row r="281" ht="12.0" customHeight="1"/>
    <row r="282" ht="12.0" customHeight="1"/>
    <row r="283" ht="12.0" customHeight="1"/>
    <row r="284" ht="12.0" customHeight="1"/>
    <row r="285" ht="12.0" customHeight="1"/>
    <row r="286" ht="12.0" customHeight="1"/>
    <row r="287" ht="12.0" customHeight="1"/>
    <row r="288" ht="12.0" customHeight="1"/>
    <row r="289" ht="12.0" customHeight="1"/>
    <row r="290" ht="12.0" customHeight="1"/>
    <row r="291" ht="12.0" customHeight="1"/>
    <row r="292" ht="12.0" customHeight="1"/>
    <row r="293" ht="12.0" customHeight="1"/>
    <row r="294" ht="12.0" customHeight="1"/>
    <row r="295" ht="12.0" customHeight="1"/>
    <row r="296" ht="12.0" customHeight="1"/>
    <row r="297" ht="12.0" customHeight="1"/>
    <row r="298" ht="12.0" customHeight="1"/>
    <row r="299" ht="12.0" customHeight="1"/>
    <row r="300" ht="12.0" customHeight="1"/>
    <row r="301" ht="12.0" customHeight="1"/>
    <row r="302" ht="12.0" customHeight="1"/>
    <row r="303" ht="12.0" customHeight="1"/>
    <row r="304" ht="12.0" customHeight="1"/>
    <row r="305" ht="12.0" customHeight="1"/>
    <row r="306" ht="12.0" customHeight="1"/>
    <row r="307" ht="12.0" customHeight="1"/>
    <row r="308" ht="12.0" customHeight="1"/>
    <row r="309" ht="12.0" customHeight="1"/>
    <row r="310" ht="12.0" customHeight="1"/>
    <row r="311" ht="12.0" customHeight="1"/>
    <row r="312" ht="12.0" customHeight="1"/>
    <row r="313" ht="12.0" customHeight="1"/>
    <row r="314" ht="12.0" customHeight="1"/>
    <row r="315" ht="12.0" customHeight="1"/>
    <row r="316" ht="12.0" customHeight="1"/>
    <row r="317" ht="12.0" customHeight="1"/>
    <row r="318" ht="12.0" customHeight="1"/>
    <row r="319" ht="12.0" customHeight="1"/>
    <row r="320" ht="12.0" customHeight="1"/>
    <row r="321" ht="12.0" customHeight="1"/>
    <row r="322" ht="12.0" customHeight="1"/>
    <row r="323" ht="12.0" customHeight="1"/>
    <row r="324" ht="12.0" customHeight="1"/>
    <row r="325" ht="12.0" customHeight="1"/>
    <row r="326" ht="12.0" customHeight="1"/>
    <row r="327" ht="12.0" customHeight="1"/>
    <row r="328" ht="12.0" customHeight="1"/>
    <row r="329" ht="12.0" customHeight="1"/>
    <row r="330" ht="12.0" customHeight="1"/>
    <row r="331" ht="12.0" customHeight="1"/>
    <row r="332" ht="12.0" customHeight="1"/>
    <row r="333" ht="12.0" customHeight="1"/>
    <row r="334" ht="12.0" customHeight="1"/>
    <row r="335" ht="12.0" customHeight="1"/>
    <row r="336" ht="12.0" customHeight="1"/>
    <row r="337" ht="12.0" customHeight="1"/>
    <row r="338" ht="12.0" customHeight="1"/>
    <row r="339" ht="12.0" customHeight="1"/>
    <row r="340" ht="12.0" customHeight="1"/>
    <row r="341" ht="12.0" customHeight="1"/>
    <row r="342" ht="12.0" customHeight="1"/>
    <row r="343" ht="12.0" customHeight="1"/>
    <row r="344" ht="12.0" customHeight="1"/>
    <row r="345" ht="12.0" customHeight="1"/>
    <row r="346" ht="12.0" customHeight="1"/>
    <row r="347" ht="12.0" customHeight="1"/>
    <row r="348" ht="12.0" customHeight="1"/>
    <row r="349" ht="12.0" customHeight="1"/>
    <row r="350" ht="12.0" customHeight="1"/>
    <row r="351" ht="12.0" customHeight="1"/>
    <row r="352" ht="12.0" customHeight="1"/>
    <row r="353" ht="12.0" customHeight="1"/>
    <row r="354" ht="12.0" customHeight="1"/>
    <row r="355" ht="12.0" customHeight="1"/>
    <row r="356" ht="12.0" customHeight="1"/>
    <row r="357" ht="12.0" customHeight="1"/>
    <row r="358" ht="12.0" customHeight="1"/>
    <row r="359" ht="12.0" customHeight="1"/>
    <row r="360" ht="12.0" customHeight="1"/>
    <row r="361" ht="12.0" customHeight="1"/>
    <row r="362" ht="12.0" customHeight="1"/>
    <row r="363" ht="12.0" customHeight="1"/>
    <row r="364" ht="12.0" customHeight="1"/>
    <row r="365" ht="12.0" customHeight="1"/>
    <row r="366" ht="12.0" customHeight="1"/>
    <row r="367" ht="12.0" customHeight="1"/>
    <row r="368" ht="12.0" customHeight="1"/>
    <row r="369" ht="12.0" customHeight="1"/>
    <row r="370" ht="12.0" customHeight="1"/>
    <row r="371" ht="12.0" customHeight="1"/>
    <row r="372" ht="12.0" customHeight="1"/>
    <row r="373" ht="12.0" customHeight="1"/>
    <row r="374" ht="12.0" customHeight="1"/>
    <row r="375" ht="12.0" customHeight="1"/>
    <row r="376" ht="12.0" customHeight="1"/>
    <row r="377" ht="12.0" customHeight="1"/>
    <row r="378" ht="12.0" customHeight="1"/>
    <row r="379" ht="12.0" customHeight="1"/>
    <row r="380" ht="12.0" customHeight="1"/>
    <row r="381" ht="12.0" customHeight="1"/>
    <row r="382" ht="12.0" customHeight="1"/>
    <row r="383" ht="12.0" customHeight="1"/>
    <row r="384" ht="12.0" customHeight="1"/>
    <row r="385" ht="12.0" customHeight="1"/>
    <row r="386" ht="12.0" customHeight="1"/>
    <row r="387" ht="12.0" customHeight="1"/>
    <row r="388" ht="12.0" customHeight="1"/>
    <row r="389" ht="12.0" customHeight="1"/>
    <row r="390" ht="12.0" customHeight="1"/>
    <row r="391" ht="12.0" customHeight="1"/>
    <row r="392" ht="12.0" customHeight="1"/>
    <row r="393" ht="12.0" customHeight="1"/>
    <row r="394" ht="12.0" customHeight="1"/>
    <row r="395" ht="12.0" customHeight="1"/>
    <row r="396" ht="12.0" customHeight="1"/>
    <row r="397" ht="12.0" customHeight="1"/>
    <row r="398" ht="12.0" customHeight="1"/>
    <row r="399" ht="12.0" customHeight="1"/>
    <row r="400" ht="12.0" customHeight="1"/>
    <row r="401" ht="12.0" customHeight="1"/>
    <row r="402" ht="12.0" customHeight="1"/>
    <row r="403" ht="12.0" customHeight="1"/>
    <row r="404" ht="12.0" customHeight="1"/>
    <row r="405" ht="12.0" customHeight="1"/>
    <row r="406" ht="12.0" customHeight="1"/>
    <row r="407" ht="12.0" customHeight="1"/>
    <row r="408" ht="12.0" customHeight="1"/>
    <row r="409" ht="12.0" customHeight="1"/>
    <row r="410" ht="12.0" customHeight="1"/>
    <row r="411" ht="12.0" customHeight="1"/>
    <row r="412" ht="12.0" customHeight="1"/>
    <row r="413" ht="12.0" customHeight="1"/>
    <row r="414" ht="12.0" customHeight="1"/>
    <row r="415" ht="12.0" customHeight="1"/>
    <row r="416" ht="12.0" customHeight="1"/>
    <row r="417" ht="12.0" customHeight="1"/>
    <row r="418" ht="12.0" customHeight="1"/>
    <row r="419" ht="12.0" customHeight="1"/>
    <row r="420" ht="12.0" customHeight="1"/>
    <row r="421" ht="12.0" customHeight="1"/>
    <row r="422" ht="12.0" customHeight="1"/>
    <row r="423" ht="12.0" customHeight="1"/>
    <row r="424" ht="12.0" customHeight="1"/>
    <row r="425" ht="12.0" customHeight="1"/>
    <row r="426" ht="12.0" customHeight="1"/>
    <row r="427" ht="12.0" customHeight="1"/>
    <row r="428" ht="12.0" customHeight="1"/>
    <row r="429" ht="12.0" customHeight="1"/>
    <row r="430" ht="12.0" customHeight="1"/>
    <row r="431" ht="12.0" customHeight="1"/>
    <row r="432" ht="12.0" customHeight="1"/>
    <row r="433" ht="12.0" customHeight="1"/>
    <row r="434" ht="12.0" customHeight="1"/>
    <row r="435" ht="12.0" customHeight="1"/>
    <row r="436" ht="12.0" customHeight="1"/>
    <row r="437" ht="12.0" customHeight="1"/>
    <row r="438" ht="12.0" customHeight="1"/>
    <row r="439" ht="12.0" customHeight="1"/>
    <row r="440" ht="12.0" customHeight="1"/>
    <row r="441" ht="12.0" customHeight="1"/>
    <row r="442" ht="12.0" customHeight="1"/>
    <row r="443" ht="12.0" customHeight="1"/>
    <row r="444" ht="12.0" customHeight="1"/>
    <row r="445" ht="12.0" customHeight="1"/>
    <row r="446" ht="12.0" customHeight="1"/>
    <row r="447" ht="12.0" customHeight="1"/>
    <row r="448" ht="12.0" customHeight="1"/>
    <row r="449" ht="12.0" customHeight="1"/>
    <row r="450" ht="12.0" customHeight="1"/>
    <row r="451" ht="12.0" customHeight="1"/>
    <row r="452" ht="12.0" customHeight="1"/>
    <row r="453" ht="12.0" customHeight="1"/>
    <row r="454" ht="12.0" customHeight="1"/>
    <row r="455" ht="12.0" customHeight="1"/>
    <row r="456" ht="12.0" customHeight="1"/>
    <row r="457" ht="12.0" customHeight="1"/>
    <row r="458" ht="12.0" customHeight="1"/>
    <row r="459" ht="12.0" customHeight="1"/>
    <row r="460" ht="12.0" customHeight="1"/>
    <row r="461" ht="12.0" customHeight="1"/>
    <row r="462" ht="12.0" customHeight="1"/>
    <row r="463" ht="12.0" customHeight="1"/>
    <row r="464" ht="12.0" customHeight="1"/>
    <row r="465" ht="12.0" customHeight="1"/>
    <row r="466" ht="12.0" customHeight="1"/>
    <row r="467" ht="12.0" customHeight="1"/>
    <row r="468" ht="12.0" customHeight="1"/>
    <row r="469" ht="12.0" customHeight="1"/>
    <row r="470" ht="12.0" customHeight="1"/>
    <row r="471" ht="12.0" customHeight="1"/>
    <row r="472" ht="12.0" customHeight="1"/>
    <row r="473" ht="12.0" customHeight="1"/>
    <row r="474" ht="12.0" customHeight="1"/>
    <row r="475" ht="12.0" customHeight="1"/>
    <row r="476" ht="12.0" customHeight="1"/>
    <row r="477" ht="12.0" customHeight="1"/>
    <row r="478" ht="12.0" customHeight="1"/>
    <row r="479" ht="12.0" customHeight="1"/>
    <row r="480" ht="12.0" customHeight="1"/>
    <row r="481" ht="12.0" customHeight="1"/>
    <row r="482" ht="12.0" customHeight="1"/>
    <row r="483" ht="12.0" customHeight="1"/>
    <row r="484" ht="12.0" customHeight="1"/>
    <row r="485" ht="12.0" customHeight="1"/>
    <row r="486" ht="12.0" customHeight="1"/>
    <row r="487" ht="12.0" customHeight="1"/>
    <row r="488" ht="12.0" customHeight="1"/>
    <row r="489" ht="12.0" customHeight="1"/>
    <row r="490" ht="12.0" customHeight="1"/>
    <row r="491" ht="12.0" customHeight="1"/>
    <row r="492" ht="12.0" customHeight="1"/>
    <row r="493" ht="12.0" customHeight="1"/>
    <row r="494" ht="12.0" customHeight="1"/>
    <row r="495" ht="12.0" customHeight="1"/>
    <row r="496" ht="12.0" customHeight="1"/>
    <row r="497" ht="12.0" customHeight="1"/>
    <row r="498" ht="12.0" customHeight="1"/>
    <row r="499" ht="12.0" customHeight="1"/>
    <row r="500" ht="12.0" customHeight="1"/>
    <row r="501" ht="12.0" customHeight="1"/>
    <row r="502" ht="12.0" customHeight="1"/>
    <row r="503" ht="12.0" customHeight="1"/>
    <row r="504" ht="12.0" customHeight="1"/>
    <row r="505" ht="12.0" customHeight="1"/>
    <row r="506" ht="12.0" customHeight="1"/>
    <row r="507" ht="12.0" customHeight="1"/>
    <row r="508" ht="12.0" customHeight="1"/>
    <row r="509" ht="12.0" customHeight="1"/>
    <row r="510" ht="12.0" customHeight="1"/>
    <row r="511" ht="12.0" customHeight="1"/>
    <row r="512" ht="12.0" customHeight="1"/>
    <row r="513" ht="12.0" customHeight="1"/>
    <row r="514" ht="12.0" customHeight="1"/>
    <row r="515" ht="12.0" customHeight="1"/>
    <row r="516" ht="12.0" customHeight="1"/>
    <row r="517" ht="12.0" customHeight="1"/>
    <row r="518" ht="12.0" customHeight="1"/>
    <row r="519" ht="12.0" customHeight="1"/>
    <row r="520" ht="12.0" customHeight="1"/>
    <row r="521" ht="12.0" customHeight="1"/>
    <row r="522" ht="12.0" customHeight="1"/>
    <row r="523" ht="12.0" customHeight="1"/>
    <row r="524" ht="12.0" customHeight="1"/>
    <row r="525" ht="12.0" customHeight="1"/>
    <row r="526" ht="12.0" customHeight="1"/>
    <row r="527" ht="12.0" customHeight="1"/>
    <row r="528" ht="12.0" customHeight="1"/>
    <row r="529" ht="12.0" customHeight="1"/>
    <row r="530" ht="12.0" customHeight="1"/>
    <row r="531" ht="12.0" customHeight="1"/>
    <row r="532" ht="12.0" customHeight="1"/>
    <row r="533" ht="12.0" customHeight="1"/>
    <row r="534" ht="12.0" customHeight="1"/>
    <row r="535" ht="12.0" customHeight="1"/>
    <row r="536" ht="12.0" customHeight="1"/>
    <row r="537" ht="12.0" customHeight="1"/>
    <row r="538" ht="12.0" customHeight="1"/>
    <row r="539" ht="12.0" customHeight="1"/>
    <row r="540" ht="12.0" customHeight="1"/>
    <row r="541" ht="12.0" customHeight="1"/>
    <row r="542" ht="12.0" customHeight="1"/>
    <row r="543" ht="12.0" customHeight="1"/>
    <row r="544" ht="12.0" customHeight="1"/>
    <row r="545" ht="12.0" customHeight="1"/>
    <row r="546" ht="12.0" customHeight="1"/>
    <row r="547" ht="12.0" customHeight="1"/>
    <row r="548" ht="12.0" customHeight="1"/>
    <row r="549" ht="12.0" customHeight="1"/>
    <row r="550" ht="12.0" customHeight="1"/>
    <row r="551" ht="12.0" customHeight="1"/>
    <row r="552" ht="12.0" customHeight="1"/>
    <row r="553" ht="12.0" customHeight="1"/>
    <row r="554" ht="12.0" customHeight="1"/>
    <row r="555" ht="12.0" customHeight="1"/>
    <row r="556" ht="12.0" customHeight="1"/>
    <row r="557" ht="12.0" customHeight="1"/>
    <row r="558" ht="12.0" customHeight="1"/>
    <row r="559" ht="12.0" customHeight="1"/>
    <row r="560" ht="12.0" customHeight="1"/>
    <row r="561" ht="12.0" customHeight="1"/>
    <row r="562" ht="12.0" customHeight="1"/>
    <row r="563" ht="12.0" customHeight="1"/>
    <row r="564" ht="12.0" customHeight="1"/>
    <row r="565" ht="12.0" customHeight="1"/>
    <row r="566" ht="12.0" customHeight="1"/>
    <row r="567" ht="12.0" customHeight="1"/>
    <row r="568" ht="12.0" customHeight="1"/>
    <row r="569" ht="12.0" customHeight="1"/>
    <row r="570" ht="12.0" customHeight="1"/>
    <row r="571" ht="12.0" customHeight="1"/>
    <row r="572" ht="12.0" customHeight="1"/>
    <row r="573" ht="12.0" customHeight="1"/>
    <row r="574" ht="12.0" customHeight="1"/>
    <row r="575" ht="12.0" customHeight="1"/>
    <row r="576" ht="12.0" customHeight="1"/>
    <row r="577" ht="12.0" customHeight="1"/>
    <row r="578" ht="12.0" customHeight="1"/>
    <row r="579" ht="12.0" customHeight="1"/>
    <row r="580" ht="12.0" customHeight="1"/>
    <row r="581" ht="12.0" customHeight="1"/>
    <row r="582" ht="12.0" customHeight="1"/>
    <row r="583" ht="12.0" customHeight="1"/>
    <row r="584" ht="12.0" customHeight="1"/>
    <row r="585" ht="12.0" customHeight="1"/>
    <row r="586" ht="12.0" customHeight="1"/>
    <row r="587" ht="12.0" customHeight="1"/>
    <row r="588" ht="12.0" customHeight="1"/>
    <row r="589" ht="12.0" customHeight="1"/>
    <row r="590" ht="12.0" customHeight="1"/>
    <row r="591" ht="12.0" customHeight="1"/>
    <row r="592" ht="12.0" customHeight="1"/>
    <row r="593" ht="12.0" customHeight="1"/>
    <row r="594" ht="12.0" customHeight="1"/>
    <row r="595" ht="12.0" customHeight="1"/>
    <row r="596" ht="12.0" customHeight="1"/>
    <row r="597" ht="12.0" customHeight="1"/>
    <row r="598" ht="12.0" customHeight="1"/>
    <row r="599" ht="12.0" customHeight="1"/>
    <row r="600" ht="12.0" customHeight="1"/>
    <row r="601" ht="12.0" customHeight="1"/>
    <row r="602" ht="12.0" customHeight="1"/>
    <row r="603" ht="12.0" customHeight="1"/>
    <row r="604" ht="12.0" customHeight="1"/>
    <row r="605" ht="12.0" customHeight="1"/>
    <row r="606" ht="12.0" customHeight="1"/>
    <row r="607" ht="12.0" customHeight="1"/>
    <row r="608" ht="12.0" customHeight="1"/>
    <row r="609" ht="12.0" customHeight="1"/>
    <row r="610" ht="12.0" customHeight="1"/>
    <row r="611" ht="12.0" customHeight="1"/>
    <row r="612" ht="12.0" customHeight="1"/>
    <row r="613" ht="12.0" customHeight="1"/>
    <row r="614" ht="12.0" customHeight="1"/>
    <row r="615" ht="12.0" customHeight="1"/>
    <row r="616" ht="12.0" customHeight="1"/>
    <row r="617" ht="12.0" customHeight="1"/>
    <row r="618" ht="12.0" customHeight="1"/>
    <row r="619" ht="12.0" customHeight="1"/>
    <row r="620" ht="12.0" customHeight="1"/>
    <row r="621" ht="12.0" customHeight="1"/>
    <row r="622" ht="12.0" customHeight="1"/>
    <row r="623" ht="12.0" customHeight="1"/>
    <row r="624" ht="12.0" customHeight="1"/>
    <row r="625" ht="12.0" customHeight="1"/>
    <row r="626" ht="12.0" customHeight="1"/>
    <row r="627" ht="12.0" customHeight="1"/>
    <row r="628" ht="12.0" customHeight="1"/>
    <row r="629" ht="12.0" customHeight="1"/>
    <row r="630" ht="12.0" customHeight="1"/>
    <row r="631" ht="12.0" customHeight="1"/>
    <row r="632" ht="12.0" customHeight="1"/>
    <row r="633" ht="12.0" customHeight="1"/>
    <row r="634" ht="12.0" customHeight="1"/>
    <row r="635" ht="12.0" customHeight="1"/>
    <row r="636" ht="12.0" customHeight="1"/>
    <row r="637" ht="12.0" customHeight="1"/>
    <row r="638" ht="12.0" customHeight="1"/>
    <row r="639" ht="12.0" customHeight="1"/>
    <row r="640" ht="12.0" customHeight="1"/>
    <row r="641" ht="12.0" customHeight="1"/>
    <row r="642" ht="12.0" customHeight="1"/>
    <row r="643" ht="12.0" customHeight="1"/>
    <row r="644" ht="12.0" customHeight="1"/>
    <row r="645" ht="12.0" customHeight="1"/>
    <row r="646" ht="12.0" customHeight="1"/>
    <row r="647" ht="12.0" customHeight="1"/>
    <row r="648" ht="12.0" customHeight="1"/>
    <row r="649" ht="12.0" customHeight="1"/>
    <row r="650" ht="12.0" customHeight="1"/>
    <row r="651" ht="12.0" customHeight="1"/>
    <row r="652" ht="12.0" customHeight="1"/>
    <row r="653" ht="12.0" customHeight="1"/>
    <row r="654" ht="12.0" customHeight="1"/>
    <row r="655" ht="12.0" customHeight="1"/>
    <row r="656" ht="12.0" customHeight="1"/>
    <row r="657" ht="12.0" customHeight="1"/>
    <row r="658" ht="12.0" customHeight="1"/>
    <row r="659" ht="12.0" customHeight="1"/>
    <row r="660" ht="12.0" customHeight="1"/>
    <row r="661" ht="12.0" customHeight="1"/>
    <row r="662" ht="12.0" customHeight="1"/>
    <row r="663" ht="12.0" customHeight="1"/>
    <row r="664" ht="12.0" customHeight="1"/>
    <row r="665" ht="12.0" customHeight="1"/>
    <row r="666" ht="12.0" customHeight="1"/>
    <row r="667" ht="12.0" customHeight="1"/>
    <row r="668" ht="12.0" customHeight="1"/>
    <row r="669" ht="12.0" customHeight="1"/>
    <row r="670" ht="12.0" customHeight="1"/>
    <row r="671" ht="12.0" customHeight="1"/>
    <row r="672" ht="12.0" customHeight="1"/>
    <row r="673" ht="12.0" customHeight="1"/>
    <row r="674" ht="12.0" customHeight="1"/>
    <row r="675" ht="12.0" customHeight="1"/>
    <row r="676" ht="12.0" customHeight="1"/>
    <row r="677" ht="12.0" customHeight="1"/>
    <row r="678" ht="12.0" customHeight="1"/>
    <row r="679" ht="12.0" customHeight="1"/>
    <row r="680" ht="12.0" customHeight="1"/>
    <row r="681" ht="12.0" customHeight="1"/>
    <row r="682" ht="12.0" customHeight="1"/>
    <row r="683" ht="12.0" customHeight="1"/>
    <row r="684" ht="12.0" customHeight="1"/>
    <row r="685" ht="12.0" customHeight="1"/>
    <row r="686" ht="12.0" customHeight="1"/>
    <row r="687" ht="12.0" customHeight="1"/>
    <row r="688" ht="12.0" customHeight="1"/>
    <row r="689" ht="12.0" customHeight="1"/>
    <row r="690" ht="12.0" customHeight="1"/>
    <row r="691" ht="12.0" customHeight="1"/>
    <row r="692" ht="12.0" customHeight="1"/>
    <row r="693" ht="12.0" customHeight="1"/>
    <row r="694" ht="12.0" customHeight="1"/>
    <row r="695" ht="12.0" customHeight="1"/>
    <row r="696" ht="12.0" customHeight="1"/>
    <row r="697" ht="12.0" customHeight="1"/>
    <row r="698" ht="12.0" customHeight="1"/>
    <row r="699" ht="12.0" customHeight="1"/>
    <row r="700" ht="12.0" customHeight="1"/>
    <row r="701" ht="12.0" customHeight="1"/>
    <row r="702" ht="12.0" customHeight="1"/>
    <row r="703" ht="12.0" customHeight="1"/>
    <row r="704" ht="12.0" customHeight="1"/>
    <row r="705" ht="12.0" customHeight="1"/>
    <row r="706" ht="12.0" customHeight="1"/>
    <row r="707" ht="12.0" customHeight="1"/>
    <row r="708" ht="12.0" customHeight="1"/>
    <row r="709" ht="12.0" customHeight="1"/>
    <row r="710" ht="12.0" customHeight="1"/>
    <row r="711" ht="12.0" customHeight="1"/>
    <row r="712" ht="12.0" customHeight="1"/>
    <row r="713" ht="12.0" customHeight="1"/>
    <row r="714" ht="12.0" customHeight="1"/>
    <row r="715" ht="12.0" customHeight="1"/>
    <row r="716" ht="12.0" customHeight="1"/>
    <row r="717" ht="12.0" customHeight="1"/>
    <row r="718" ht="12.0" customHeight="1"/>
    <row r="719" ht="12.0" customHeight="1"/>
    <row r="720" ht="12.0" customHeight="1"/>
    <row r="721" ht="12.0" customHeight="1"/>
    <row r="722" ht="12.0" customHeight="1"/>
    <row r="723" ht="12.0" customHeight="1"/>
    <row r="724" ht="12.0" customHeight="1"/>
    <row r="725" ht="12.0" customHeight="1"/>
    <row r="726" ht="12.0" customHeight="1"/>
    <row r="727" ht="12.0" customHeight="1"/>
    <row r="728" ht="12.0" customHeight="1"/>
    <row r="729" ht="12.0" customHeight="1"/>
    <row r="730" ht="12.0" customHeight="1"/>
    <row r="731" ht="12.0" customHeight="1"/>
    <row r="732" ht="12.0" customHeight="1"/>
    <row r="733" ht="12.0" customHeight="1"/>
    <row r="734" ht="12.0" customHeight="1"/>
    <row r="735" ht="12.0" customHeight="1"/>
    <row r="736" ht="12.0" customHeight="1"/>
    <row r="737" ht="12.0" customHeight="1"/>
    <row r="738" ht="12.0" customHeight="1"/>
    <row r="739" ht="12.0" customHeight="1"/>
    <row r="740" ht="12.0" customHeight="1"/>
    <row r="741" ht="12.0" customHeight="1"/>
    <row r="742" ht="12.0" customHeight="1"/>
    <row r="743" ht="12.0" customHeight="1"/>
    <row r="744" ht="12.0" customHeight="1"/>
    <row r="745" ht="12.0" customHeight="1"/>
    <row r="746" ht="12.0" customHeight="1"/>
    <row r="747" ht="12.0" customHeight="1"/>
    <row r="748" ht="12.0" customHeight="1"/>
    <row r="749" ht="12.0" customHeight="1"/>
    <row r="750" ht="12.0" customHeight="1"/>
    <row r="751" ht="12.0" customHeight="1"/>
    <row r="752" ht="12.0" customHeight="1"/>
    <row r="753" ht="12.0" customHeight="1"/>
    <row r="754" ht="12.0" customHeight="1"/>
    <row r="755" ht="12.0" customHeight="1"/>
    <row r="756" ht="12.0" customHeight="1"/>
    <row r="757" ht="12.0" customHeight="1"/>
    <row r="758" ht="12.0" customHeight="1"/>
    <row r="759" ht="12.0" customHeight="1"/>
    <row r="760" ht="12.0" customHeight="1"/>
    <row r="761" ht="12.0" customHeight="1"/>
    <row r="762" ht="12.0" customHeight="1"/>
    <row r="763" ht="12.0" customHeight="1"/>
    <row r="764" ht="12.0" customHeight="1"/>
    <row r="765" ht="12.0" customHeight="1"/>
    <row r="766" ht="12.0" customHeight="1"/>
    <row r="767" ht="12.0" customHeight="1"/>
    <row r="768" ht="12.0" customHeight="1"/>
    <row r="769" ht="12.0" customHeight="1"/>
    <row r="770" ht="12.0" customHeight="1"/>
    <row r="771" ht="12.0" customHeight="1"/>
    <row r="772" ht="12.0" customHeight="1"/>
    <row r="773" ht="12.0" customHeight="1"/>
    <row r="774" ht="12.0" customHeight="1"/>
    <row r="775" ht="12.0" customHeight="1"/>
    <row r="776" ht="12.0" customHeight="1"/>
    <row r="777" ht="12.0" customHeight="1"/>
    <row r="778" ht="12.0" customHeight="1"/>
    <row r="779" ht="12.0" customHeight="1"/>
    <row r="780" ht="12.0" customHeight="1"/>
    <row r="781" ht="12.0" customHeight="1"/>
    <row r="782" ht="12.0" customHeight="1"/>
    <row r="783" ht="12.0" customHeight="1"/>
    <row r="784" ht="12.0" customHeight="1"/>
    <row r="785" ht="12.0" customHeight="1"/>
    <row r="786" ht="12.0" customHeight="1"/>
    <row r="787" ht="12.0" customHeight="1"/>
    <row r="788" ht="12.0" customHeight="1"/>
    <row r="789" ht="12.0" customHeight="1"/>
    <row r="790" ht="12.0" customHeight="1"/>
    <row r="791" ht="12.0" customHeight="1"/>
    <row r="792" ht="12.0" customHeight="1"/>
    <row r="793" ht="12.0" customHeight="1"/>
    <row r="794" ht="12.0" customHeight="1"/>
    <row r="795" ht="12.0" customHeight="1"/>
    <row r="796" ht="12.0" customHeight="1"/>
    <row r="797" ht="12.0" customHeight="1"/>
    <row r="798" ht="12.0" customHeight="1"/>
    <row r="799" ht="12.0" customHeight="1"/>
    <row r="800" ht="12.0" customHeight="1"/>
    <row r="801" ht="12.0" customHeight="1"/>
    <row r="802" ht="12.0" customHeight="1"/>
    <row r="803" ht="12.0" customHeight="1"/>
    <row r="804" ht="12.0" customHeight="1"/>
    <row r="805" ht="12.0" customHeight="1"/>
    <row r="806" ht="12.0" customHeight="1"/>
    <row r="807" ht="12.0" customHeight="1"/>
    <row r="808" ht="12.0" customHeight="1"/>
    <row r="809" ht="12.0" customHeight="1"/>
    <row r="810" ht="12.0" customHeight="1"/>
    <row r="811" ht="12.0" customHeight="1"/>
    <row r="812" ht="12.0" customHeight="1"/>
    <row r="813" ht="12.0" customHeight="1"/>
    <row r="814" ht="12.0" customHeight="1"/>
    <row r="815" ht="12.0" customHeight="1"/>
    <row r="816" ht="12.0" customHeight="1"/>
    <row r="817" ht="12.0" customHeight="1"/>
    <row r="818" ht="12.0" customHeight="1"/>
    <row r="819" ht="12.0" customHeight="1"/>
    <row r="820" ht="12.0" customHeight="1"/>
    <row r="821" ht="12.0" customHeight="1"/>
    <row r="822" ht="12.0" customHeight="1"/>
    <row r="823" ht="12.0" customHeight="1"/>
    <row r="824" ht="12.0" customHeight="1"/>
    <row r="825" ht="12.0" customHeight="1"/>
    <row r="826" ht="12.0" customHeight="1"/>
    <row r="827" ht="12.0" customHeight="1"/>
    <row r="828" ht="12.0" customHeight="1"/>
    <row r="829" ht="12.0" customHeight="1"/>
    <row r="830" ht="12.0" customHeight="1"/>
    <row r="831" ht="12.0" customHeight="1"/>
    <row r="832" ht="12.0" customHeight="1"/>
    <row r="833" ht="12.0" customHeight="1"/>
    <row r="834" ht="12.0" customHeight="1"/>
    <row r="835" ht="12.0" customHeight="1"/>
    <row r="836" ht="12.0" customHeight="1"/>
    <row r="837" ht="12.0" customHeight="1"/>
    <row r="838" ht="12.0" customHeight="1"/>
    <row r="839" ht="12.0" customHeight="1"/>
    <row r="840" ht="12.0" customHeight="1"/>
    <row r="841" ht="12.0" customHeight="1"/>
    <row r="842" ht="12.0" customHeight="1"/>
    <row r="843" ht="12.0" customHeight="1"/>
    <row r="844" ht="12.0" customHeight="1"/>
    <row r="845" ht="12.0" customHeight="1"/>
    <row r="846" ht="12.0" customHeight="1"/>
    <row r="847" ht="12.0" customHeight="1"/>
    <row r="848" ht="12.0" customHeight="1"/>
    <row r="849" ht="12.0" customHeight="1"/>
    <row r="850" ht="12.0" customHeight="1"/>
    <row r="851" ht="12.0" customHeight="1"/>
    <row r="852" ht="12.0" customHeight="1"/>
    <row r="853" ht="12.0" customHeight="1"/>
    <row r="854" ht="12.0" customHeight="1"/>
    <row r="855" ht="12.0" customHeight="1"/>
    <row r="856" ht="12.0" customHeight="1"/>
    <row r="857" ht="12.0" customHeight="1"/>
    <row r="858" ht="12.0" customHeight="1"/>
    <row r="859" ht="12.0" customHeight="1"/>
    <row r="860" ht="12.0" customHeight="1"/>
    <row r="861" ht="12.0" customHeight="1"/>
    <row r="862" ht="12.0" customHeight="1"/>
    <row r="863" ht="12.0" customHeight="1"/>
    <row r="864" ht="12.0" customHeight="1"/>
    <row r="865" ht="12.0" customHeight="1"/>
    <row r="866" ht="12.0" customHeight="1"/>
    <row r="867" ht="12.0" customHeight="1"/>
    <row r="868" ht="12.0" customHeight="1"/>
    <row r="869" ht="12.0" customHeight="1"/>
    <row r="870" ht="12.0" customHeight="1"/>
    <row r="871" ht="12.0" customHeight="1"/>
    <row r="872" ht="12.0" customHeight="1"/>
    <row r="873" ht="12.0" customHeight="1"/>
    <row r="874" ht="12.0" customHeight="1"/>
    <row r="875" ht="12.0" customHeight="1"/>
    <row r="876" ht="12.0" customHeight="1"/>
    <row r="877" ht="12.0" customHeight="1"/>
    <row r="878" ht="12.0" customHeight="1"/>
    <row r="879" ht="12.0" customHeight="1"/>
    <row r="880" ht="12.0" customHeight="1"/>
    <row r="881" ht="12.0" customHeight="1"/>
    <row r="882" ht="12.0" customHeight="1"/>
    <row r="883" ht="12.0" customHeight="1"/>
    <row r="884" ht="12.0" customHeight="1"/>
    <row r="885" ht="12.0" customHeight="1"/>
    <row r="886" ht="12.0" customHeight="1"/>
    <row r="887" ht="12.0" customHeight="1"/>
    <row r="888" ht="12.0" customHeight="1"/>
    <row r="889" ht="12.0" customHeight="1"/>
    <row r="890" ht="12.0" customHeight="1"/>
    <row r="891" ht="12.0" customHeight="1"/>
    <row r="892" ht="12.0" customHeight="1"/>
    <row r="893" ht="12.0" customHeight="1"/>
    <row r="894" ht="12.0" customHeight="1"/>
    <row r="895" ht="12.0" customHeight="1"/>
    <row r="896" ht="12.0" customHeight="1"/>
    <row r="897" ht="12.0" customHeight="1"/>
    <row r="898" ht="12.0" customHeight="1"/>
    <row r="899" ht="12.0" customHeight="1"/>
    <row r="900" ht="12.0" customHeight="1"/>
    <row r="901" ht="12.0" customHeight="1"/>
    <row r="902" ht="12.0" customHeight="1"/>
    <row r="903" ht="12.0" customHeight="1"/>
    <row r="904" ht="12.0" customHeight="1"/>
    <row r="905" ht="12.0" customHeight="1"/>
    <row r="906" ht="12.0" customHeight="1"/>
    <row r="907" ht="12.0" customHeight="1"/>
    <row r="908" ht="12.0" customHeight="1"/>
    <row r="909" ht="12.0" customHeight="1"/>
    <row r="910" ht="12.0" customHeight="1"/>
    <row r="911" ht="12.0" customHeight="1"/>
    <row r="912" ht="12.0" customHeight="1"/>
    <row r="913" ht="12.0" customHeight="1"/>
    <row r="914" ht="12.0" customHeight="1"/>
    <row r="915" ht="12.0" customHeight="1"/>
    <row r="916" ht="12.0" customHeight="1"/>
    <row r="917" ht="12.0" customHeight="1"/>
    <row r="918" ht="12.0" customHeight="1"/>
    <row r="919" ht="12.0" customHeight="1"/>
    <row r="920" ht="12.0" customHeight="1"/>
    <row r="921" ht="12.0" customHeight="1"/>
    <row r="922" ht="12.0" customHeight="1"/>
    <row r="923" ht="12.0" customHeight="1"/>
    <row r="924" ht="12.0" customHeight="1"/>
    <row r="925" ht="12.0" customHeight="1"/>
    <row r="926" ht="12.0" customHeight="1"/>
    <row r="927" ht="12.0" customHeight="1"/>
    <row r="928" ht="12.0" customHeight="1"/>
    <row r="929" ht="12.0" customHeight="1"/>
    <row r="930" ht="12.0" customHeight="1"/>
    <row r="931" ht="12.0" customHeight="1"/>
    <row r="932" ht="12.0" customHeight="1"/>
    <row r="933" ht="12.0" customHeight="1"/>
    <row r="934" ht="12.0" customHeight="1"/>
    <row r="935" ht="12.0" customHeight="1"/>
    <row r="936" ht="12.0" customHeight="1"/>
    <row r="937" ht="12.0" customHeight="1"/>
    <row r="938" ht="12.0" customHeight="1"/>
    <row r="939" ht="12.0" customHeight="1"/>
    <row r="940" ht="12.0" customHeight="1"/>
    <row r="941" ht="12.0" customHeight="1"/>
    <row r="942" ht="12.0" customHeight="1"/>
    <row r="943" ht="12.0" customHeight="1"/>
    <row r="944" ht="12.0" customHeight="1"/>
    <row r="945" ht="12.0" customHeight="1"/>
    <row r="946" ht="12.0" customHeight="1"/>
    <row r="947" ht="12.0" customHeight="1"/>
    <row r="948" ht="12.0" customHeight="1"/>
    <row r="949" ht="12.0" customHeight="1"/>
    <row r="950" ht="12.0" customHeight="1"/>
    <row r="951" ht="12.0" customHeight="1"/>
    <row r="952" ht="12.0" customHeight="1"/>
    <row r="953" ht="12.0" customHeight="1"/>
    <row r="954" ht="12.0" customHeight="1"/>
    <row r="955" ht="12.0" customHeight="1"/>
    <row r="956" ht="12.0" customHeight="1"/>
    <row r="957" ht="12.0" customHeight="1"/>
    <row r="958" ht="12.0" customHeight="1"/>
    <row r="959" ht="12.0" customHeight="1"/>
    <row r="960" ht="12.0" customHeight="1"/>
    <row r="961" ht="12.0" customHeight="1"/>
    <row r="962" ht="12.0" customHeight="1"/>
    <row r="963" ht="12.0" customHeight="1"/>
    <row r="964" ht="12.0" customHeight="1"/>
    <row r="965" ht="12.0" customHeight="1"/>
    <row r="966" ht="12.0" customHeight="1"/>
    <row r="967" ht="12.0" customHeight="1"/>
    <row r="968" ht="12.0" customHeight="1"/>
    <row r="969" ht="12.0" customHeight="1"/>
    <row r="970" ht="12.0" customHeight="1"/>
    <row r="971" ht="12.0" customHeight="1"/>
    <row r="972" ht="12.0" customHeight="1"/>
    <row r="973" ht="12.0" customHeight="1"/>
    <row r="974" ht="12.0" customHeight="1"/>
    <row r="975" ht="12.0" customHeight="1"/>
    <row r="976" ht="12.0" customHeight="1"/>
    <row r="977" ht="12.0" customHeight="1"/>
    <row r="978" ht="12.0" customHeight="1"/>
    <row r="979" ht="12.0" customHeight="1"/>
    <row r="980" ht="12.0" customHeight="1"/>
    <row r="981" ht="12.0" customHeight="1"/>
    <row r="982" ht="12.0" customHeight="1"/>
    <row r="983" ht="12.0" customHeight="1"/>
    <row r="984" ht="12.0" customHeight="1"/>
    <row r="985" ht="12.0" customHeight="1"/>
    <row r="986" ht="12.0" customHeight="1"/>
    <row r="987" ht="12.0" customHeight="1"/>
    <row r="988" ht="12.0" customHeight="1"/>
    <row r="989" ht="12.0" customHeight="1"/>
    <row r="990" ht="12.0" customHeight="1"/>
    <row r="991" ht="12.0" customHeight="1"/>
    <row r="992" ht="12.0" customHeight="1"/>
    <row r="993" ht="12.0" customHeight="1"/>
    <row r="994" ht="12.0" customHeight="1"/>
    <row r="995" ht="12.0" customHeight="1"/>
    <row r="996" ht="12.0" customHeight="1"/>
    <row r="997" ht="12.0" customHeight="1"/>
    <row r="998" ht="12.0" customHeight="1"/>
    <row r="999" ht="12.0" customHeight="1"/>
    <row r="1000" ht="12.0" customHeight="1"/>
  </sheetData>
  <printOptions/>
  <pageMargins bottom="0.787401575" footer="0.0" header="0.0" left="0.7" right="0.7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">
    <pageSetUpPr/>
  </sheetPr>
  <sheetViews>
    <sheetView workbookViewId="0"/>
  </sheetViews>
  <sheetFormatPr customHeight="1" defaultColWidth="12.63" defaultRowHeight="15.0" outlineLevelCol="1" outlineLevelRow="2"/>
  <cols>
    <col customWidth="1" hidden="1" min="1" max="1" width="1.75"/>
    <col customWidth="1" min="2" max="2" width="13.0"/>
    <col customWidth="1" min="3" max="3" width="53.5"/>
    <col customWidth="1" min="4" max="4" width="1.38"/>
    <col customWidth="1" min="5" max="5" width="36.63" outlineLevel="1"/>
    <col customWidth="1" min="6" max="6" width="15.75" outlineLevel="1"/>
    <col customWidth="1" min="7" max="8" width="13.0" outlineLevel="1"/>
    <col customWidth="1" min="9" max="9" width="4.38"/>
    <col customWidth="1" min="10" max="10" width="0.25" outlineLevel="1"/>
    <col customWidth="1" min="11" max="11" width="22.5"/>
    <col customWidth="1" min="12" max="13" width="4.38"/>
    <col customWidth="1" min="14" max="14" width="17.63"/>
    <col customWidth="1" min="15" max="15" width="52.75" outlineLevel="1"/>
    <col customWidth="1" min="16" max="26" width="8.75"/>
  </cols>
  <sheetData>
    <row r="1" ht="13.5" hidden="1" customHeight="1">
      <c r="A1" s="1">
        <f>+Legende!C19</f>
        <v>6</v>
      </c>
      <c r="B1" s="1">
        <f>+Legende!D19</f>
        <v>3</v>
      </c>
      <c r="C1" s="1">
        <f>+Legende!D25</f>
        <v>11</v>
      </c>
      <c r="E1" s="19" t="s">
        <v>26</v>
      </c>
      <c r="M1" s="20"/>
      <c r="N1" s="20"/>
    </row>
    <row r="2" ht="13.5" hidden="1" customHeight="1">
      <c r="A2" s="1">
        <f>+Legende!C20</f>
        <v>3</v>
      </c>
      <c r="B2" s="1">
        <f>+Legende!D20</f>
        <v>2</v>
      </c>
      <c r="C2" s="1">
        <f>+Legende!D26</f>
        <v>11</v>
      </c>
      <c r="E2" s="21" t="s">
        <v>27</v>
      </c>
      <c r="M2" s="20"/>
      <c r="N2" s="20"/>
    </row>
    <row r="3" ht="13.5" hidden="1" customHeight="1">
      <c r="A3" s="1">
        <f>+Legende!C21</f>
        <v>1</v>
      </c>
      <c r="B3" s="1">
        <f>+Legende!D21</f>
        <v>1</v>
      </c>
      <c r="C3" s="1">
        <f>+Legende!D27</f>
        <v>5</v>
      </c>
      <c r="E3" s="22" t="s">
        <v>28</v>
      </c>
      <c r="M3" s="20"/>
      <c r="N3" s="20"/>
    </row>
    <row r="4" ht="13.5" hidden="1" customHeight="1">
      <c r="E4" s="23" t="s">
        <v>29</v>
      </c>
      <c r="M4" s="20"/>
      <c r="N4" s="20"/>
    </row>
    <row r="5" ht="13.5" customHeight="1">
      <c r="M5" s="20"/>
      <c r="N5" s="20"/>
    </row>
    <row r="6" ht="13.5" customHeight="1">
      <c r="B6" s="24" t="s">
        <v>30</v>
      </c>
      <c r="C6" s="25" t="s">
        <v>31</v>
      </c>
      <c r="E6" s="26"/>
      <c r="F6" s="26"/>
      <c r="G6" s="27"/>
      <c r="H6" s="27"/>
      <c r="I6" s="27"/>
      <c r="M6" s="20"/>
      <c r="N6" s="20"/>
    </row>
    <row r="7" ht="70.5" customHeight="1">
      <c r="B7" s="28" t="s">
        <v>0</v>
      </c>
      <c r="C7" s="29"/>
      <c r="D7" s="26"/>
      <c r="E7" s="26"/>
      <c r="F7" s="26"/>
      <c r="G7" s="27"/>
      <c r="H7" s="27"/>
      <c r="I7" s="27"/>
      <c r="M7" s="20"/>
      <c r="N7" s="20"/>
    </row>
    <row r="8" ht="15.0" customHeight="1">
      <c r="B8" s="30" t="s">
        <v>32</v>
      </c>
      <c r="C8" s="31" t="s">
        <v>33</v>
      </c>
      <c r="D8" s="26"/>
      <c r="E8" s="26"/>
      <c r="F8" s="26"/>
      <c r="G8" s="27"/>
      <c r="H8" s="27"/>
      <c r="I8" s="27"/>
      <c r="M8" s="20"/>
      <c r="N8" s="20"/>
    </row>
    <row r="9" ht="15.0" customHeight="1">
      <c r="B9" s="32">
        <v>45029.0</v>
      </c>
      <c r="C9" s="33"/>
      <c r="E9" s="26"/>
      <c r="F9" s="26"/>
      <c r="G9" s="27"/>
      <c r="H9" s="27"/>
      <c r="I9" s="27"/>
      <c r="M9" s="20"/>
      <c r="N9" s="20"/>
    </row>
    <row r="10" ht="20.25" customHeight="1">
      <c r="D10" s="26"/>
      <c r="E10" s="26"/>
      <c r="F10" s="26"/>
      <c r="G10" s="27"/>
      <c r="H10" s="27"/>
      <c r="I10" s="27"/>
      <c r="M10" s="20"/>
      <c r="N10" s="20"/>
    </row>
    <row r="11" ht="13.5" customHeight="1">
      <c r="A11" s="34" t="str">
        <f>+B19+#REF!+F18+G18</f>
        <v>#REF!</v>
      </c>
      <c r="B11" s="35"/>
      <c r="E11" s="26"/>
      <c r="F11" s="26"/>
      <c r="G11" s="27"/>
      <c r="H11" s="27"/>
      <c r="I11" s="27"/>
      <c r="M11" s="20"/>
      <c r="N11" s="20"/>
    </row>
    <row r="12" ht="13.5" customHeight="1" outlineLevel="1">
      <c r="D12" s="26"/>
      <c r="E12" s="36"/>
      <c r="F12" s="37" t="s">
        <v>34</v>
      </c>
      <c r="G12" s="37" t="s">
        <v>34</v>
      </c>
      <c r="H12" s="36"/>
      <c r="I12" s="35"/>
      <c r="M12" s="20"/>
      <c r="N12" s="20"/>
      <c r="O12" s="38"/>
    </row>
    <row r="13" ht="13.5" customHeight="1" outlineLevel="2">
      <c r="E13" s="39">
        <f>COUNTIF(F25:F64,F13)</f>
        <v>18</v>
      </c>
      <c r="F13" s="40" t="s">
        <v>35</v>
      </c>
      <c r="G13" s="40" t="s">
        <v>36</v>
      </c>
      <c r="H13" s="41">
        <f>COUNTIF(I25:I64,Legende!F25)</f>
        <v>5</v>
      </c>
      <c r="M13" s="20"/>
      <c r="N13" s="20"/>
      <c r="O13" s="38"/>
    </row>
    <row r="14" ht="13.5" customHeight="1" outlineLevel="2">
      <c r="E14" s="42">
        <f>COUNTIF(F25:F64,F14)</f>
        <v>10</v>
      </c>
      <c r="F14" s="40" t="s">
        <v>37</v>
      </c>
      <c r="G14" s="40" t="s">
        <v>38</v>
      </c>
      <c r="H14" s="43">
        <f>COUNTIF(I25:I64,Legende!F26)-COUNTIF(I25:I64,Legende!F27)</f>
        <v>12</v>
      </c>
      <c r="M14" s="44"/>
      <c r="N14" s="44"/>
      <c r="O14" s="38" t="s">
        <v>28</v>
      </c>
    </row>
    <row r="15" ht="13.5" customHeight="1" outlineLevel="2">
      <c r="E15" s="45">
        <f>COUNTIF(F25:F64,F15)</f>
        <v>0</v>
      </c>
      <c r="F15" s="40" t="s">
        <v>39</v>
      </c>
      <c r="G15" s="40" t="s">
        <v>40</v>
      </c>
      <c r="H15" s="45">
        <f>COUNTIF(I25:I64,Legende!F27)-COUNTIF(I25:I64,"=0")</f>
        <v>11</v>
      </c>
      <c r="M15" s="46"/>
      <c r="N15" s="46"/>
      <c r="O15" s="38" t="s">
        <v>26</v>
      </c>
    </row>
    <row r="16" ht="13.5" customHeight="1" outlineLevel="2">
      <c r="E16" s="47">
        <f>COUNTIF(F25:F64,F16)</f>
        <v>0</v>
      </c>
      <c r="F16" s="48" t="s">
        <v>41</v>
      </c>
      <c r="G16" s="48" t="s">
        <v>42</v>
      </c>
      <c r="H16" s="49">
        <f>COUNTIF(I25:I64,"=E")+COUNTIF(I25:I64,"=N")</f>
        <v>0</v>
      </c>
      <c r="I16" s="27"/>
      <c r="M16" s="20"/>
      <c r="N16" s="20"/>
    </row>
    <row r="17" ht="3.75" customHeight="1" outlineLevel="2">
      <c r="E17" s="50"/>
      <c r="F17" s="51"/>
      <c r="G17" s="52"/>
      <c r="H17" s="53"/>
      <c r="M17" s="20"/>
      <c r="N17" s="20"/>
    </row>
    <row r="18" ht="3.75" customHeight="1" outlineLevel="1">
      <c r="D18" s="38"/>
      <c r="E18" s="52"/>
      <c r="F18" s="54" t="str">
        <f t="shared" ref="F18:G18" si="1">IF(F20&lt;&gt;"",1,0)</f>
        <v>#REF!</v>
      </c>
      <c r="G18" s="54">
        <f t="shared" si="1"/>
        <v>0</v>
      </c>
      <c r="H18" s="52"/>
      <c r="I18" s="53"/>
      <c r="M18" s="20"/>
      <c r="N18" s="20"/>
    </row>
    <row r="19" ht="13.5" customHeight="1" outlineLevel="1">
      <c r="B19" s="54">
        <f>IF(C20&lt;&gt;"",1,0)</f>
        <v>0</v>
      </c>
      <c r="C19" s="55" t="s">
        <v>43</v>
      </c>
      <c r="D19" s="38"/>
      <c r="E19" s="36"/>
      <c r="F19" s="56" t="s">
        <v>43</v>
      </c>
      <c r="G19" s="56" t="s">
        <v>43</v>
      </c>
      <c r="H19" s="57"/>
      <c r="I19" s="58"/>
      <c r="M19" s="20"/>
      <c r="N19" s="20"/>
    </row>
    <row r="20" ht="13.5" customHeight="1" outlineLevel="2">
      <c r="B20" s="59">
        <f>COUNTIF(A25:A64,"=1")</f>
        <v>0</v>
      </c>
      <c r="C20" s="60" t="str">
        <f>IF(B20&gt;0,IF(B21&gt;0,CONCATENATE(B20," Process description(s) and 
",B21," Process ID(s) are missed"),CONCATENATE(B20," Process description(s) are missed")),IF(B21&gt;0,CONCATENATE(B21," Process ID(s) are missed"),""))</f>
        <v/>
      </c>
      <c r="D20" s="38"/>
      <c r="E20" s="61"/>
      <c r="F20" s="62" t="str">
        <f>IF(SUM(#REF!,#REF!)&gt;0,(CONCATENATE("For ",SUM(#REF!,#REF!),"  process(es) one or both responsibles are not identified")),"")</f>
        <v>#REF!</v>
      </c>
      <c r="G20" s="62" t="str">
        <f>IF(H16&lt;&gt;0,CONCATENATE(H16," processe(s) weights are incorrect"),"")</f>
        <v/>
      </c>
      <c r="H20" s="63"/>
      <c r="I20" s="58"/>
      <c r="M20" s="20"/>
      <c r="N20" s="20"/>
      <c r="O20" s="64"/>
    </row>
    <row r="21" ht="13.5" customHeight="1" outlineLevel="2">
      <c r="B21" s="34">
        <f>COUNTIF(A25:A64,"=2")</f>
        <v>0</v>
      </c>
      <c r="C21" s="65"/>
      <c r="D21" s="26"/>
      <c r="E21" s="66"/>
      <c r="F21" s="67"/>
      <c r="G21" s="67"/>
      <c r="H21" s="66"/>
      <c r="I21" s="58"/>
      <c r="M21" s="20"/>
      <c r="N21" s="20"/>
    </row>
    <row r="22" ht="13.5" customHeight="1" outlineLevel="2">
      <c r="A22" s="68"/>
      <c r="B22" s="26"/>
      <c r="C22" s="69"/>
      <c r="D22" s="26"/>
      <c r="E22" s="70"/>
      <c r="F22" s="71"/>
      <c r="G22" s="71"/>
      <c r="H22" s="70"/>
      <c r="I22" s="58"/>
      <c r="M22" s="20"/>
      <c r="N22" s="20"/>
    </row>
    <row r="23" ht="13.5" customHeight="1">
      <c r="A23" s="68"/>
      <c r="D23" s="26"/>
      <c r="E23" s="26"/>
      <c r="F23" s="26"/>
      <c r="G23" s="72"/>
      <c r="H23" s="1"/>
      <c r="I23" s="1"/>
      <c r="J23" s="1"/>
      <c r="K23" s="1"/>
      <c r="M23" s="20"/>
      <c r="N23" s="20"/>
    </row>
    <row r="24" ht="81.75" customHeight="1">
      <c r="A24" s="73"/>
      <c r="B24" s="74" t="s">
        <v>44</v>
      </c>
      <c r="C24" s="75" t="s">
        <v>45</v>
      </c>
      <c r="D24" s="76" t="s">
        <v>46</v>
      </c>
      <c r="E24" s="77" t="s">
        <v>47</v>
      </c>
      <c r="F24" s="78" t="s">
        <v>48</v>
      </c>
      <c r="G24" s="74" t="s">
        <v>49</v>
      </c>
      <c r="H24" s="79" t="s">
        <v>50</v>
      </c>
      <c r="I24" s="80" t="s">
        <v>51</v>
      </c>
      <c r="J24" s="81" t="s">
        <v>46</v>
      </c>
      <c r="K24" s="79" t="s">
        <v>52</v>
      </c>
      <c r="L24" s="80" t="s">
        <v>53</v>
      </c>
      <c r="M24" s="80" t="s">
        <v>54</v>
      </c>
      <c r="N24" s="82" t="s">
        <v>55</v>
      </c>
      <c r="O24" s="83" t="s">
        <v>56</v>
      </c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ht="49.5" customHeight="1">
      <c r="A25" s="84">
        <f>+(IF(B25&lt;&gt;"",1,0)+IF(C25&lt;&gt;"",2,0))</f>
        <v>3</v>
      </c>
      <c r="B25" s="85" t="s">
        <v>57</v>
      </c>
      <c r="C25" s="86" t="s">
        <v>58</v>
      </c>
      <c r="D25" s="87"/>
      <c r="E25" s="88" t="s">
        <v>59</v>
      </c>
      <c r="F25" s="89" t="s">
        <v>35</v>
      </c>
      <c r="G25" s="90">
        <v>6.0</v>
      </c>
      <c r="H25" s="91">
        <v>3.0</v>
      </c>
      <c r="I25" s="92">
        <f t="shared" ref="I25:I52" si="2">IF(CONCATENATE($B25&amp;$C25)&lt;&gt;"",(IF(G25&lt;&gt;"",(IF(H25&lt;&gt;"",G25*H25,"E")),"E")),(IF(G25&lt;&gt;"","N",IF(H25&lt;&gt;"","E",0))))</f>
        <v>18</v>
      </c>
      <c r="J25" s="93" t="str">
        <f>IF(#REF!=$E$1,3,IF(#REF!=$E$2,2,IF(#REF!=$E$3,1,"")))</f>
        <v>#REF!</v>
      </c>
      <c r="K25" s="94" t="s">
        <v>60</v>
      </c>
      <c r="L25" s="1">
        <v>3.0</v>
      </c>
      <c r="M25" s="95" t="s">
        <v>61</v>
      </c>
      <c r="N25" s="20" t="s">
        <v>62</v>
      </c>
      <c r="O25" s="96" t="s">
        <v>63</v>
      </c>
    </row>
    <row r="26" ht="49.5" customHeight="1">
      <c r="A26" s="84"/>
      <c r="B26" s="85" t="s">
        <v>64</v>
      </c>
      <c r="C26" s="86" t="s">
        <v>65</v>
      </c>
      <c r="D26" s="97"/>
      <c r="E26" s="98" t="s">
        <v>66</v>
      </c>
      <c r="F26" s="89" t="s">
        <v>35</v>
      </c>
      <c r="G26" s="90">
        <v>3.0</v>
      </c>
      <c r="H26" s="94">
        <v>3.0</v>
      </c>
      <c r="I26" s="92">
        <f t="shared" si="2"/>
        <v>9</v>
      </c>
      <c r="J26" s="93"/>
      <c r="K26" s="94" t="s">
        <v>60</v>
      </c>
      <c r="L26" s="1">
        <v>3.0</v>
      </c>
      <c r="M26" s="95" t="s">
        <v>61</v>
      </c>
      <c r="N26" s="20" t="s">
        <v>62</v>
      </c>
      <c r="O26" s="96" t="s">
        <v>63</v>
      </c>
    </row>
    <row r="27" ht="49.5" customHeight="1">
      <c r="A27" s="84">
        <f t="shared" ref="A27:A64" si="3">+(IF(B27&lt;&gt;"",1,0)+IF(C27&lt;&gt;"",2,0))</f>
        <v>3</v>
      </c>
      <c r="B27" s="85" t="s">
        <v>67</v>
      </c>
      <c r="C27" s="86" t="s">
        <v>68</v>
      </c>
      <c r="D27" s="97"/>
      <c r="E27" s="99" t="s">
        <v>69</v>
      </c>
      <c r="F27" s="89" t="s">
        <v>35</v>
      </c>
      <c r="G27" s="90">
        <v>3.0</v>
      </c>
      <c r="H27" s="94">
        <v>3.0</v>
      </c>
      <c r="I27" s="92">
        <f t="shared" si="2"/>
        <v>9</v>
      </c>
      <c r="J27" s="93" t="str">
        <f t="shared" ref="J27:J34" si="4">IF(#REF!=$E$1,3,IF(#REF!=$E$2,2,IF(#REF!=$E$3,1,"")))</f>
        <v>#REF!</v>
      </c>
      <c r="K27" s="94" t="s">
        <v>60</v>
      </c>
      <c r="L27" s="1">
        <v>3.0</v>
      </c>
      <c r="M27" s="95" t="s">
        <v>61</v>
      </c>
      <c r="N27" s="20" t="s">
        <v>62</v>
      </c>
      <c r="O27" s="96" t="s">
        <v>63</v>
      </c>
    </row>
    <row r="28" ht="49.5" customHeight="1">
      <c r="A28" s="84">
        <f t="shared" si="3"/>
        <v>3</v>
      </c>
      <c r="B28" s="85" t="s">
        <v>70</v>
      </c>
      <c r="C28" s="86" t="s">
        <v>71</v>
      </c>
      <c r="D28" s="97"/>
      <c r="E28" s="100" t="s">
        <v>72</v>
      </c>
      <c r="F28" s="89" t="s">
        <v>35</v>
      </c>
      <c r="G28" s="90">
        <v>3.0</v>
      </c>
      <c r="H28" s="94">
        <v>1.0</v>
      </c>
      <c r="I28" s="92">
        <f t="shared" si="2"/>
        <v>3</v>
      </c>
      <c r="J28" s="93" t="str">
        <f t="shared" si="4"/>
        <v>#REF!</v>
      </c>
      <c r="K28" s="94" t="s">
        <v>73</v>
      </c>
      <c r="L28" s="1">
        <v>2.0</v>
      </c>
      <c r="M28" s="95" t="s">
        <v>74</v>
      </c>
      <c r="N28" s="20"/>
      <c r="O28" s="101"/>
    </row>
    <row r="29" ht="49.5" customHeight="1">
      <c r="A29" s="84">
        <f t="shared" si="3"/>
        <v>3</v>
      </c>
      <c r="B29" s="85" t="s">
        <v>75</v>
      </c>
      <c r="C29" s="86" t="s">
        <v>76</v>
      </c>
      <c r="D29" s="97"/>
      <c r="E29" s="100" t="s">
        <v>72</v>
      </c>
      <c r="F29" s="89" t="s">
        <v>35</v>
      </c>
      <c r="G29" s="90">
        <v>1.0</v>
      </c>
      <c r="H29" s="94">
        <v>1.0</v>
      </c>
      <c r="I29" s="92">
        <f t="shared" si="2"/>
        <v>1</v>
      </c>
      <c r="J29" s="93" t="str">
        <f t="shared" si="4"/>
        <v>#REF!</v>
      </c>
      <c r="K29" s="94" t="s">
        <v>73</v>
      </c>
      <c r="L29" s="1">
        <v>1.0</v>
      </c>
      <c r="M29" s="95" t="s">
        <v>74</v>
      </c>
      <c r="N29" s="20"/>
      <c r="O29" s="101"/>
    </row>
    <row r="30" ht="49.5" customHeight="1">
      <c r="A30" s="84">
        <f t="shared" si="3"/>
        <v>3</v>
      </c>
      <c r="B30" s="85" t="s">
        <v>77</v>
      </c>
      <c r="C30" s="86" t="s">
        <v>78</v>
      </c>
      <c r="D30" s="97"/>
      <c r="E30" s="100" t="s">
        <v>72</v>
      </c>
      <c r="F30" s="89" t="s">
        <v>35</v>
      </c>
      <c r="G30" s="90">
        <v>6.0</v>
      </c>
      <c r="H30" s="94">
        <v>1.0</v>
      </c>
      <c r="I30" s="92">
        <f t="shared" si="2"/>
        <v>6</v>
      </c>
      <c r="J30" s="93" t="str">
        <f t="shared" si="4"/>
        <v>#REF!</v>
      </c>
      <c r="K30" s="94" t="s">
        <v>73</v>
      </c>
      <c r="L30" s="1">
        <v>3.0</v>
      </c>
      <c r="M30" s="95" t="s">
        <v>74</v>
      </c>
      <c r="N30" s="20"/>
      <c r="O30" s="101"/>
    </row>
    <row r="31" ht="49.5" customHeight="1">
      <c r="A31" s="84">
        <f t="shared" si="3"/>
        <v>3</v>
      </c>
      <c r="B31" s="85" t="s">
        <v>79</v>
      </c>
      <c r="C31" s="86" t="s">
        <v>80</v>
      </c>
      <c r="D31" s="97"/>
      <c r="E31" s="100" t="s">
        <v>72</v>
      </c>
      <c r="F31" s="89" t="s">
        <v>35</v>
      </c>
      <c r="G31" s="90">
        <v>3.0</v>
      </c>
      <c r="H31" s="94">
        <v>1.0</v>
      </c>
      <c r="I31" s="92">
        <f t="shared" si="2"/>
        <v>3</v>
      </c>
      <c r="J31" s="93" t="str">
        <f t="shared" si="4"/>
        <v>#REF!</v>
      </c>
      <c r="K31" s="94" t="s">
        <v>73</v>
      </c>
      <c r="L31" s="1">
        <v>2.0</v>
      </c>
      <c r="M31" s="95" t="s">
        <v>74</v>
      </c>
      <c r="N31" s="20"/>
      <c r="O31" s="102"/>
    </row>
    <row r="32" ht="49.5" customHeight="1">
      <c r="A32" s="84">
        <f t="shared" si="3"/>
        <v>3</v>
      </c>
      <c r="B32" s="85" t="s">
        <v>81</v>
      </c>
      <c r="C32" s="86" t="s">
        <v>82</v>
      </c>
      <c r="D32" s="97"/>
      <c r="E32" s="100" t="s">
        <v>72</v>
      </c>
      <c r="F32" s="89" t="s">
        <v>35</v>
      </c>
      <c r="G32" s="90">
        <v>6.0</v>
      </c>
      <c r="H32" s="94">
        <v>2.0</v>
      </c>
      <c r="I32" s="92">
        <f t="shared" si="2"/>
        <v>12</v>
      </c>
      <c r="J32" s="93" t="str">
        <f t="shared" si="4"/>
        <v>#REF!</v>
      </c>
      <c r="K32" s="94" t="s">
        <v>73</v>
      </c>
      <c r="L32" s="1">
        <v>2.0</v>
      </c>
      <c r="M32" s="95" t="s">
        <v>74</v>
      </c>
      <c r="N32" s="20"/>
      <c r="O32" s="102"/>
    </row>
    <row r="33" ht="49.5" customHeight="1">
      <c r="A33" s="84">
        <f t="shared" si="3"/>
        <v>3</v>
      </c>
      <c r="B33" s="85" t="s">
        <v>83</v>
      </c>
      <c r="C33" s="86" t="s">
        <v>84</v>
      </c>
      <c r="D33" s="97"/>
      <c r="E33" s="100" t="s">
        <v>72</v>
      </c>
      <c r="F33" s="89" t="s">
        <v>35</v>
      </c>
      <c r="G33" s="90">
        <v>6.0</v>
      </c>
      <c r="H33" s="94">
        <v>2.0</v>
      </c>
      <c r="I33" s="92">
        <f t="shared" si="2"/>
        <v>12</v>
      </c>
      <c r="J33" s="93" t="str">
        <f t="shared" si="4"/>
        <v>#REF!</v>
      </c>
      <c r="K33" s="94" t="s">
        <v>73</v>
      </c>
      <c r="L33" s="1">
        <v>2.0</v>
      </c>
      <c r="M33" s="95" t="s">
        <v>74</v>
      </c>
      <c r="N33" s="20"/>
      <c r="O33" s="102"/>
    </row>
    <row r="34" ht="49.5" customHeight="1">
      <c r="A34" s="84">
        <f t="shared" si="3"/>
        <v>3</v>
      </c>
      <c r="B34" s="85" t="s">
        <v>85</v>
      </c>
      <c r="C34" s="86" t="s">
        <v>86</v>
      </c>
      <c r="D34" s="97"/>
      <c r="E34" s="100" t="s">
        <v>72</v>
      </c>
      <c r="F34" s="89" t="s">
        <v>35</v>
      </c>
      <c r="G34" s="90">
        <v>6.0</v>
      </c>
      <c r="H34" s="94">
        <v>1.0</v>
      </c>
      <c r="I34" s="92">
        <f t="shared" si="2"/>
        <v>6</v>
      </c>
      <c r="J34" s="93" t="str">
        <f t="shared" si="4"/>
        <v>#REF!</v>
      </c>
      <c r="K34" s="94" t="s">
        <v>73</v>
      </c>
      <c r="L34" s="1">
        <v>2.0</v>
      </c>
      <c r="M34" s="95" t="s">
        <v>74</v>
      </c>
      <c r="N34" s="20"/>
      <c r="O34" s="102"/>
    </row>
    <row r="35" ht="49.5" customHeight="1">
      <c r="A35" s="84">
        <f t="shared" si="3"/>
        <v>3</v>
      </c>
      <c r="B35" s="85" t="s">
        <v>87</v>
      </c>
      <c r="C35" s="86" t="s">
        <v>88</v>
      </c>
      <c r="D35" s="97"/>
      <c r="E35" s="100" t="s">
        <v>72</v>
      </c>
      <c r="F35" s="89" t="s">
        <v>35</v>
      </c>
      <c r="G35" s="90">
        <v>3.0</v>
      </c>
      <c r="H35" s="103">
        <v>2.0</v>
      </c>
      <c r="I35" s="104">
        <f t="shared" si="2"/>
        <v>6</v>
      </c>
      <c r="J35" s="93"/>
      <c r="K35" s="94" t="s">
        <v>73</v>
      </c>
      <c r="L35" s="1">
        <v>2.0</v>
      </c>
      <c r="M35" s="95" t="s">
        <v>74</v>
      </c>
      <c r="N35" s="20"/>
      <c r="O35" s="102"/>
    </row>
    <row r="36" ht="49.5" customHeight="1">
      <c r="A36" s="84">
        <f t="shared" si="3"/>
        <v>3</v>
      </c>
      <c r="B36" s="85" t="s">
        <v>89</v>
      </c>
      <c r="C36" s="86" t="s">
        <v>90</v>
      </c>
      <c r="D36" s="97"/>
      <c r="E36" s="100" t="s">
        <v>72</v>
      </c>
      <c r="F36" s="89" t="s">
        <v>35</v>
      </c>
      <c r="G36" s="90">
        <v>3.0</v>
      </c>
      <c r="H36" s="103">
        <v>2.0</v>
      </c>
      <c r="I36" s="104">
        <f t="shared" si="2"/>
        <v>6</v>
      </c>
      <c r="J36" s="93" t="str">
        <f t="shared" ref="J36:J61" si="5">IF(#REF!=$E$1,3,IF(#REF!=$E$2,2,IF(#REF!=$E$3,1,"")))</f>
        <v>#REF!</v>
      </c>
      <c r="K36" s="94" t="s">
        <v>73</v>
      </c>
      <c r="L36" s="1">
        <v>2.0</v>
      </c>
      <c r="M36" s="95" t="s">
        <v>74</v>
      </c>
      <c r="N36" s="20"/>
      <c r="O36" s="102"/>
    </row>
    <row r="37" ht="49.5" customHeight="1">
      <c r="A37" s="84">
        <f t="shared" si="3"/>
        <v>3</v>
      </c>
      <c r="B37" s="85" t="s">
        <v>91</v>
      </c>
      <c r="C37" s="86" t="s">
        <v>92</v>
      </c>
      <c r="D37" s="97"/>
      <c r="E37" s="100" t="s">
        <v>72</v>
      </c>
      <c r="F37" s="89" t="s">
        <v>35</v>
      </c>
      <c r="G37" s="90">
        <v>3.0</v>
      </c>
      <c r="H37" s="103">
        <v>2.0</v>
      </c>
      <c r="I37" s="104">
        <f t="shared" si="2"/>
        <v>6</v>
      </c>
      <c r="J37" s="93" t="str">
        <f t="shared" si="5"/>
        <v>#REF!</v>
      </c>
      <c r="K37" s="94" t="s">
        <v>73</v>
      </c>
      <c r="L37" s="1">
        <v>2.0</v>
      </c>
      <c r="M37" s="95" t="s">
        <v>74</v>
      </c>
      <c r="N37" s="20"/>
      <c r="O37" s="102"/>
    </row>
    <row r="38" ht="49.5" customHeight="1">
      <c r="A38" s="84">
        <f t="shared" si="3"/>
        <v>3</v>
      </c>
      <c r="B38" s="85" t="s">
        <v>93</v>
      </c>
      <c r="C38" s="86" t="s">
        <v>94</v>
      </c>
      <c r="D38" s="97"/>
      <c r="E38" s="100" t="s">
        <v>72</v>
      </c>
      <c r="F38" s="89" t="s">
        <v>35</v>
      </c>
      <c r="G38" s="90">
        <v>3.0</v>
      </c>
      <c r="H38" s="103">
        <v>2.0</v>
      </c>
      <c r="I38" s="104">
        <f t="shared" si="2"/>
        <v>6</v>
      </c>
      <c r="J38" s="93" t="str">
        <f t="shared" si="5"/>
        <v>#REF!</v>
      </c>
      <c r="K38" s="94" t="s">
        <v>73</v>
      </c>
      <c r="L38" s="1">
        <v>2.0</v>
      </c>
      <c r="M38" s="95" t="s">
        <v>74</v>
      </c>
      <c r="N38" s="20"/>
      <c r="O38" s="102"/>
    </row>
    <row r="39" ht="49.5" customHeight="1">
      <c r="A39" s="84">
        <f t="shared" si="3"/>
        <v>3</v>
      </c>
      <c r="B39" s="85" t="s">
        <v>95</v>
      </c>
      <c r="C39" s="86" t="s">
        <v>96</v>
      </c>
      <c r="D39" s="97"/>
      <c r="E39" s="100" t="s">
        <v>72</v>
      </c>
      <c r="F39" s="89" t="s">
        <v>35</v>
      </c>
      <c r="G39" s="90">
        <v>3.0</v>
      </c>
      <c r="H39" s="94">
        <v>1.0</v>
      </c>
      <c r="I39" s="92">
        <f t="shared" si="2"/>
        <v>3</v>
      </c>
      <c r="J39" s="93" t="str">
        <f t="shared" si="5"/>
        <v>#REF!</v>
      </c>
      <c r="K39" s="94" t="s">
        <v>73</v>
      </c>
      <c r="L39" s="105">
        <v>3.0</v>
      </c>
      <c r="M39" s="95" t="s">
        <v>74</v>
      </c>
      <c r="N39" s="20"/>
      <c r="O39" s="102"/>
    </row>
    <row r="40" ht="49.5" customHeight="1">
      <c r="A40" s="84">
        <f t="shared" si="3"/>
        <v>3</v>
      </c>
      <c r="B40" s="85" t="s">
        <v>97</v>
      </c>
      <c r="C40" s="86" t="s">
        <v>98</v>
      </c>
      <c r="D40" s="97"/>
      <c r="E40" s="100" t="s">
        <v>72</v>
      </c>
      <c r="F40" s="89" t="s">
        <v>35</v>
      </c>
      <c r="G40" s="90">
        <v>3.0</v>
      </c>
      <c r="H40" s="94">
        <v>1.0</v>
      </c>
      <c r="I40" s="92">
        <f t="shared" si="2"/>
        <v>3</v>
      </c>
      <c r="J40" s="93" t="str">
        <f t="shared" si="5"/>
        <v>#REF!</v>
      </c>
      <c r="K40" s="94" t="s">
        <v>73</v>
      </c>
      <c r="L40" s="105">
        <v>3.0</v>
      </c>
      <c r="M40" s="95" t="s">
        <v>74</v>
      </c>
      <c r="N40" s="20"/>
      <c r="O40" s="102"/>
    </row>
    <row r="41" ht="49.5" customHeight="1">
      <c r="A41" s="84">
        <f t="shared" si="3"/>
        <v>3</v>
      </c>
      <c r="B41" s="85" t="s">
        <v>99</v>
      </c>
      <c r="C41" s="86" t="s">
        <v>100</v>
      </c>
      <c r="D41" s="97"/>
      <c r="E41" s="100" t="s">
        <v>72</v>
      </c>
      <c r="F41" s="89" t="s">
        <v>35</v>
      </c>
      <c r="G41" s="90">
        <v>3.0</v>
      </c>
      <c r="H41" s="94">
        <v>1.0</v>
      </c>
      <c r="I41" s="92">
        <f t="shared" si="2"/>
        <v>3</v>
      </c>
      <c r="J41" s="93" t="str">
        <f t="shared" si="5"/>
        <v>#REF!</v>
      </c>
      <c r="K41" s="94" t="s">
        <v>73</v>
      </c>
      <c r="L41" s="105">
        <v>3.0</v>
      </c>
      <c r="M41" s="95" t="s">
        <v>74</v>
      </c>
      <c r="N41" s="20"/>
      <c r="O41" s="102"/>
    </row>
    <row r="42" ht="49.5" customHeight="1">
      <c r="A42" s="84">
        <f t="shared" si="3"/>
        <v>3</v>
      </c>
      <c r="B42" s="85" t="s">
        <v>101</v>
      </c>
      <c r="C42" s="86" t="s">
        <v>102</v>
      </c>
      <c r="D42" s="97"/>
      <c r="E42" s="100" t="s">
        <v>72</v>
      </c>
      <c r="F42" s="89" t="s">
        <v>35</v>
      </c>
      <c r="G42" s="90">
        <v>3.0</v>
      </c>
      <c r="H42" s="94">
        <v>1.0</v>
      </c>
      <c r="I42" s="92">
        <f t="shared" si="2"/>
        <v>3</v>
      </c>
      <c r="J42" s="93" t="str">
        <f t="shared" si="5"/>
        <v>#REF!</v>
      </c>
      <c r="K42" s="94" t="s">
        <v>73</v>
      </c>
      <c r="L42" s="105">
        <v>3.0</v>
      </c>
      <c r="M42" s="95" t="s">
        <v>74</v>
      </c>
      <c r="N42" s="20"/>
      <c r="O42" s="102"/>
    </row>
    <row r="43" ht="49.5" customHeight="1">
      <c r="A43" s="84">
        <f t="shared" si="3"/>
        <v>3</v>
      </c>
      <c r="B43" s="85" t="s">
        <v>103</v>
      </c>
      <c r="C43" s="86" t="s">
        <v>104</v>
      </c>
      <c r="D43" s="97"/>
      <c r="E43" s="100" t="s">
        <v>72</v>
      </c>
      <c r="F43" s="89" t="s">
        <v>37</v>
      </c>
      <c r="G43" s="90">
        <v>6.0</v>
      </c>
      <c r="H43" s="94">
        <v>1.0</v>
      </c>
      <c r="I43" s="92">
        <f t="shared" si="2"/>
        <v>6</v>
      </c>
      <c r="J43" s="93" t="str">
        <f t="shared" si="5"/>
        <v>#REF!</v>
      </c>
      <c r="K43" s="94" t="s">
        <v>73</v>
      </c>
      <c r="L43" s="105">
        <v>2.0</v>
      </c>
      <c r="M43" s="95" t="s">
        <v>74</v>
      </c>
      <c r="N43" s="20"/>
      <c r="O43" s="102"/>
    </row>
    <row r="44" ht="49.5" customHeight="1">
      <c r="A44" s="84">
        <f t="shared" si="3"/>
        <v>3</v>
      </c>
      <c r="B44" s="85" t="s">
        <v>105</v>
      </c>
      <c r="C44" s="86" t="s">
        <v>106</v>
      </c>
      <c r="D44" s="97"/>
      <c r="E44" s="100" t="s">
        <v>72</v>
      </c>
      <c r="F44" s="89" t="s">
        <v>37</v>
      </c>
      <c r="G44" s="90">
        <v>6.0</v>
      </c>
      <c r="H44" s="94">
        <v>1.0</v>
      </c>
      <c r="I44" s="92">
        <f t="shared" si="2"/>
        <v>6</v>
      </c>
      <c r="J44" s="93" t="str">
        <f t="shared" si="5"/>
        <v>#REF!</v>
      </c>
      <c r="K44" s="94" t="s">
        <v>73</v>
      </c>
      <c r="L44" s="105">
        <v>2.0</v>
      </c>
      <c r="M44" s="95" t="s">
        <v>74</v>
      </c>
      <c r="N44" s="20"/>
      <c r="O44" s="102"/>
    </row>
    <row r="45" ht="49.5" customHeight="1">
      <c r="A45" s="84">
        <f t="shared" si="3"/>
        <v>3</v>
      </c>
      <c r="B45" s="85" t="s">
        <v>107</v>
      </c>
      <c r="C45" s="86" t="s">
        <v>108</v>
      </c>
      <c r="D45" s="97"/>
      <c r="E45" s="100" t="s">
        <v>72</v>
      </c>
      <c r="F45" s="89" t="s">
        <v>37</v>
      </c>
      <c r="G45" s="90">
        <v>6.0</v>
      </c>
      <c r="H45" s="94">
        <v>1.0</v>
      </c>
      <c r="I45" s="92">
        <f t="shared" si="2"/>
        <v>6</v>
      </c>
      <c r="J45" s="93" t="str">
        <f t="shared" si="5"/>
        <v>#REF!</v>
      </c>
      <c r="K45" s="94" t="s">
        <v>73</v>
      </c>
      <c r="L45" s="105">
        <v>2.0</v>
      </c>
      <c r="M45" s="95" t="s">
        <v>74</v>
      </c>
      <c r="N45" s="20"/>
      <c r="O45" s="102"/>
    </row>
    <row r="46" ht="49.5" customHeight="1">
      <c r="A46" s="84">
        <f t="shared" si="3"/>
        <v>3</v>
      </c>
      <c r="B46" s="85" t="s">
        <v>109</v>
      </c>
      <c r="C46" s="86" t="s">
        <v>110</v>
      </c>
      <c r="D46" s="97"/>
      <c r="E46" s="100" t="s">
        <v>72</v>
      </c>
      <c r="F46" s="89" t="s">
        <v>37</v>
      </c>
      <c r="G46" s="90">
        <v>6.0</v>
      </c>
      <c r="H46" s="94">
        <v>2.0</v>
      </c>
      <c r="I46" s="92">
        <f t="shared" si="2"/>
        <v>12</v>
      </c>
      <c r="J46" s="93" t="str">
        <f t="shared" si="5"/>
        <v>#REF!</v>
      </c>
      <c r="K46" s="94" t="s">
        <v>73</v>
      </c>
      <c r="L46" s="105">
        <v>3.0</v>
      </c>
      <c r="M46" s="95" t="s">
        <v>74</v>
      </c>
      <c r="N46" s="20"/>
      <c r="O46" s="102"/>
    </row>
    <row r="47" ht="49.5" customHeight="1">
      <c r="A47" s="84">
        <f t="shared" si="3"/>
        <v>3</v>
      </c>
      <c r="B47" s="85" t="s">
        <v>111</v>
      </c>
      <c r="C47" s="86" t="s">
        <v>112</v>
      </c>
      <c r="D47" s="97"/>
      <c r="E47" s="100" t="s">
        <v>72</v>
      </c>
      <c r="F47" s="89" t="s">
        <v>37</v>
      </c>
      <c r="G47" s="90">
        <v>6.0</v>
      </c>
      <c r="H47" s="94">
        <v>2.0</v>
      </c>
      <c r="I47" s="92">
        <f t="shared" si="2"/>
        <v>12</v>
      </c>
      <c r="J47" s="93" t="str">
        <f t="shared" si="5"/>
        <v>#REF!</v>
      </c>
      <c r="K47" s="94" t="s">
        <v>73</v>
      </c>
      <c r="L47" s="105">
        <v>3.0</v>
      </c>
      <c r="M47" s="95" t="s">
        <v>74</v>
      </c>
      <c r="N47" s="20"/>
      <c r="O47" s="102"/>
    </row>
    <row r="48" ht="49.5" customHeight="1">
      <c r="A48" s="84">
        <f t="shared" si="3"/>
        <v>3</v>
      </c>
      <c r="B48" s="85" t="s">
        <v>113</v>
      </c>
      <c r="C48" s="86" t="s">
        <v>114</v>
      </c>
      <c r="D48" s="97"/>
      <c r="E48" s="100" t="s">
        <v>72</v>
      </c>
      <c r="F48" s="89" t="s">
        <v>37</v>
      </c>
      <c r="G48" s="90">
        <v>1.0</v>
      </c>
      <c r="H48" s="94">
        <v>2.0</v>
      </c>
      <c r="I48" s="92">
        <f t="shared" si="2"/>
        <v>2</v>
      </c>
      <c r="J48" s="93" t="str">
        <f t="shared" si="5"/>
        <v>#REF!</v>
      </c>
      <c r="K48" s="94" t="s">
        <v>73</v>
      </c>
      <c r="L48" s="105">
        <v>3.0</v>
      </c>
      <c r="M48" s="95" t="s">
        <v>74</v>
      </c>
      <c r="N48" s="20"/>
      <c r="O48" s="102"/>
    </row>
    <row r="49" ht="49.5" customHeight="1">
      <c r="A49" s="84">
        <f t="shared" si="3"/>
        <v>3</v>
      </c>
      <c r="B49" s="85" t="s">
        <v>115</v>
      </c>
      <c r="C49" s="86" t="s">
        <v>116</v>
      </c>
      <c r="D49" s="97"/>
      <c r="E49" s="100" t="s">
        <v>72</v>
      </c>
      <c r="F49" s="89" t="s">
        <v>37</v>
      </c>
      <c r="G49" s="90">
        <v>1.0</v>
      </c>
      <c r="H49" s="94">
        <v>2.0</v>
      </c>
      <c r="I49" s="92">
        <f t="shared" si="2"/>
        <v>2</v>
      </c>
      <c r="J49" s="93" t="str">
        <f t="shared" si="5"/>
        <v>#REF!</v>
      </c>
      <c r="K49" s="94" t="s">
        <v>73</v>
      </c>
      <c r="L49" s="105">
        <v>2.0</v>
      </c>
      <c r="M49" s="95" t="s">
        <v>74</v>
      </c>
      <c r="N49" s="20"/>
      <c r="O49" s="102"/>
    </row>
    <row r="50" ht="49.5" customHeight="1">
      <c r="A50" s="84">
        <f t="shared" si="3"/>
        <v>3</v>
      </c>
      <c r="B50" s="85" t="s">
        <v>117</v>
      </c>
      <c r="C50" s="86" t="s">
        <v>118</v>
      </c>
      <c r="D50" s="97"/>
      <c r="E50" s="100" t="s">
        <v>72</v>
      </c>
      <c r="F50" s="89" t="s">
        <v>37</v>
      </c>
      <c r="G50" s="90">
        <v>1.0</v>
      </c>
      <c r="H50" s="94">
        <v>1.0</v>
      </c>
      <c r="I50" s="92">
        <f t="shared" si="2"/>
        <v>1</v>
      </c>
      <c r="J50" s="93" t="str">
        <f t="shared" si="5"/>
        <v>#REF!</v>
      </c>
      <c r="K50" s="94" t="s">
        <v>73</v>
      </c>
      <c r="L50" s="105">
        <v>2.0</v>
      </c>
      <c r="M50" s="95" t="s">
        <v>74</v>
      </c>
      <c r="N50" s="20"/>
      <c r="O50" s="102"/>
    </row>
    <row r="51" ht="49.5" customHeight="1">
      <c r="A51" s="84">
        <f t="shared" si="3"/>
        <v>3</v>
      </c>
      <c r="B51" s="85" t="s">
        <v>119</v>
      </c>
      <c r="C51" s="86" t="s">
        <v>120</v>
      </c>
      <c r="D51" s="97"/>
      <c r="E51" s="100" t="s">
        <v>72</v>
      </c>
      <c r="F51" s="89" t="s">
        <v>37</v>
      </c>
      <c r="G51" s="90">
        <v>1.0</v>
      </c>
      <c r="H51" s="94">
        <v>1.0</v>
      </c>
      <c r="I51" s="92">
        <f t="shared" si="2"/>
        <v>1</v>
      </c>
      <c r="J51" s="93" t="str">
        <f t="shared" si="5"/>
        <v>#REF!</v>
      </c>
      <c r="K51" s="94" t="s">
        <v>73</v>
      </c>
      <c r="L51" s="105">
        <v>1.0</v>
      </c>
      <c r="M51" s="95" t="s">
        <v>74</v>
      </c>
      <c r="N51" s="20"/>
      <c r="O51" s="102"/>
    </row>
    <row r="52" ht="49.5" customHeight="1">
      <c r="A52" s="84">
        <f t="shared" si="3"/>
        <v>3</v>
      </c>
      <c r="B52" s="85" t="s">
        <v>121</v>
      </c>
      <c r="C52" s="86" t="s">
        <v>122</v>
      </c>
      <c r="D52" s="97"/>
      <c r="E52" s="100" t="s">
        <v>72</v>
      </c>
      <c r="F52" s="89" t="s">
        <v>37</v>
      </c>
      <c r="G52" s="90">
        <v>3.0</v>
      </c>
      <c r="H52" s="94">
        <v>2.0</v>
      </c>
      <c r="I52" s="92">
        <f t="shared" si="2"/>
        <v>6</v>
      </c>
      <c r="J52" s="93" t="str">
        <f t="shared" si="5"/>
        <v>#REF!</v>
      </c>
      <c r="K52" s="94" t="s">
        <v>73</v>
      </c>
      <c r="L52" s="105">
        <v>1.0</v>
      </c>
      <c r="M52" s="95" t="s">
        <v>74</v>
      </c>
      <c r="N52" s="20"/>
      <c r="O52" s="102"/>
    </row>
    <row r="53" ht="12.75" customHeight="1">
      <c r="A53" s="84">
        <f t="shared" si="3"/>
        <v>0</v>
      </c>
      <c r="B53" s="85"/>
      <c r="C53" s="86"/>
      <c r="D53" s="97"/>
      <c r="E53" s="106"/>
      <c r="F53" s="89"/>
      <c r="G53" s="90"/>
      <c r="H53" s="94"/>
      <c r="I53" s="92"/>
      <c r="J53" s="93" t="str">
        <f t="shared" si="5"/>
        <v>#REF!</v>
      </c>
      <c r="K53" s="94"/>
      <c r="M53" s="95"/>
      <c r="N53" s="20"/>
      <c r="O53" s="102"/>
    </row>
    <row r="54" ht="12.75" customHeight="1">
      <c r="A54" s="84">
        <f t="shared" si="3"/>
        <v>0</v>
      </c>
      <c r="B54" s="85"/>
      <c r="C54" s="86"/>
      <c r="D54" s="97"/>
      <c r="E54" s="106"/>
      <c r="F54" s="89"/>
      <c r="G54" s="90"/>
      <c r="H54" s="94"/>
      <c r="I54" s="92"/>
      <c r="J54" s="93" t="str">
        <f t="shared" si="5"/>
        <v>#REF!</v>
      </c>
      <c r="K54" s="94"/>
      <c r="M54" s="95"/>
      <c r="N54" s="20"/>
      <c r="O54" s="102"/>
    </row>
    <row r="55" ht="12.75" customHeight="1">
      <c r="A55" s="84">
        <f t="shared" si="3"/>
        <v>0</v>
      </c>
      <c r="B55" s="85"/>
      <c r="C55" s="86"/>
      <c r="D55" s="97"/>
      <c r="E55" s="106"/>
      <c r="F55" s="89"/>
      <c r="G55" s="90"/>
      <c r="H55" s="94"/>
      <c r="I55" s="92"/>
      <c r="J55" s="93" t="str">
        <f t="shared" si="5"/>
        <v>#REF!</v>
      </c>
      <c r="K55" s="94"/>
      <c r="M55" s="95"/>
      <c r="N55" s="20"/>
      <c r="O55" s="102"/>
    </row>
    <row r="56" ht="12.75" customHeight="1">
      <c r="A56" s="84">
        <f t="shared" si="3"/>
        <v>0</v>
      </c>
      <c r="B56" s="85"/>
      <c r="C56" s="86"/>
      <c r="D56" s="97"/>
      <c r="E56" s="106"/>
      <c r="F56" s="89"/>
      <c r="G56" s="90"/>
      <c r="H56" s="94"/>
      <c r="I56" s="92"/>
      <c r="J56" s="93" t="str">
        <f t="shared" si="5"/>
        <v>#REF!</v>
      </c>
      <c r="K56" s="94"/>
      <c r="M56" s="95"/>
      <c r="N56" s="20"/>
      <c r="O56" s="102"/>
    </row>
    <row r="57" ht="12.75" customHeight="1">
      <c r="A57" s="84">
        <f t="shared" si="3"/>
        <v>0</v>
      </c>
      <c r="B57" s="85"/>
      <c r="C57" s="86"/>
      <c r="D57" s="97"/>
      <c r="E57" s="106"/>
      <c r="F57" s="89"/>
      <c r="G57" s="90"/>
      <c r="H57" s="94"/>
      <c r="I57" s="92"/>
      <c r="J57" s="93" t="str">
        <f t="shared" si="5"/>
        <v>#REF!</v>
      </c>
      <c r="K57" s="94"/>
      <c r="M57" s="95"/>
      <c r="N57" s="20"/>
      <c r="O57" s="102"/>
    </row>
    <row r="58" ht="12.75" customHeight="1">
      <c r="A58" s="84">
        <f t="shared" si="3"/>
        <v>0</v>
      </c>
      <c r="B58" s="85"/>
      <c r="C58" s="86"/>
      <c r="D58" s="97"/>
      <c r="E58" s="106"/>
      <c r="F58" s="89"/>
      <c r="G58" s="90"/>
      <c r="H58" s="94"/>
      <c r="I58" s="92"/>
      <c r="J58" s="93" t="str">
        <f t="shared" si="5"/>
        <v>#REF!</v>
      </c>
      <c r="K58" s="94"/>
      <c r="M58" s="95"/>
      <c r="N58" s="20"/>
      <c r="O58" s="102"/>
    </row>
    <row r="59" ht="13.5" customHeight="1">
      <c r="A59" s="84">
        <f t="shared" si="3"/>
        <v>0</v>
      </c>
      <c r="B59" s="85"/>
      <c r="C59" s="86"/>
      <c r="D59" s="97"/>
      <c r="E59" s="106"/>
      <c r="F59" s="89"/>
      <c r="G59" s="90"/>
      <c r="H59" s="94"/>
      <c r="I59" s="92"/>
      <c r="J59" s="93" t="str">
        <f t="shared" si="5"/>
        <v>#REF!</v>
      </c>
      <c r="K59" s="94"/>
      <c r="M59" s="95"/>
      <c r="N59" s="20"/>
      <c r="O59" s="102"/>
    </row>
    <row r="60" ht="13.5" customHeight="1">
      <c r="A60" s="84">
        <f t="shared" si="3"/>
        <v>0</v>
      </c>
      <c r="B60" s="85"/>
      <c r="C60" s="86"/>
      <c r="D60" s="97"/>
      <c r="E60" s="106"/>
      <c r="F60" s="89"/>
      <c r="G60" s="90"/>
      <c r="H60" s="94"/>
      <c r="I60" s="92"/>
      <c r="J60" s="93" t="str">
        <f t="shared" si="5"/>
        <v>#REF!</v>
      </c>
      <c r="K60" s="94"/>
      <c r="M60" s="95"/>
      <c r="N60" s="20"/>
      <c r="O60" s="102"/>
    </row>
    <row r="61" ht="13.5" customHeight="1">
      <c r="A61" s="84">
        <f t="shared" si="3"/>
        <v>0</v>
      </c>
      <c r="B61" s="85"/>
      <c r="C61" s="86"/>
      <c r="D61" s="97"/>
      <c r="E61" s="106"/>
      <c r="F61" s="89"/>
      <c r="G61" s="90"/>
      <c r="H61" s="94"/>
      <c r="I61" s="92"/>
      <c r="J61" s="93" t="str">
        <f t="shared" si="5"/>
        <v>#REF!</v>
      </c>
      <c r="K61" s="94"/>
      <c r="M61" s="95"/>
      <c r="N61" s="20"/>
      <c r="O61" s="102"/>
    </row>
    <row r="62" ht="13.5" customHeight="1">
      <c r="A62" s="84">
        <f t="shared" si="3"/>
        <v>0</v>
      </c>
      <c r="B62" s="85"/>
      <c r="C62" s="86"/>
      <c r="D62" s="97"/>
      <c r="E62" s="106"/>
      <c r="F62" s="89"/>
      <c r="G62" s="90"/>
      <c r="H62" s="94"/>
      <c r="I62" s="92"/>
      <c r="J62" s="93"/>
      <c r="K62" s="94"/>
      <c r="M62" s="95"/>
      <c r="N62" s="20"/>
      <c r="O62" s="102"/>
    </row>
    <row r="63" ht="12.75" customHeight="1">
      <c r="A63" s="84">
        <f t="shared" si="3"/>
        <v>0</v>
      </c>
      <c r="B63" s="85"/>
      <c r="C63" s="86"/>
      <c r="D63" s="97"/>
      <c r="E63" s="106"/>
      <c r="F63" s="89"/>
      <c r="G63" s="90"/>
      <c r="H63" s="94"/>
      <c r="I63" s="92"/>
      <c r="J63" s="93" t="str">
        <f t="shared" ref="J63:J64" si="6">IF(#REF!=$E$1,3,IF(#REF!=$E$2,2,IF(#REF!=$E$3,1,"")))</f>
        <v>#REF!</v>
      </c>
      <c r="K63" s="94"/>
      <c r="M63" s="95"/>
      <c r="N63" s="20"/>
      <c r="O63" s="102"/>
    </row>
    <row r="64" ht="13.5" customHeight="1">
      <c r="A64" s="84">
        <f t="shared" si="3"/>
        <v>0</v>
      </c>
      <c r="B64" s="107"/>
      <c r="C64" s="108"/>
      <c r="D64" s="109"/>
      <c r="E64" s="110"/>
      <c r="F64" s="111"/>
      <c r="G64" s="112"/>
      <c r="H64" s="113"/>
      <c r="I64" s="114"/>
      <c r="J64" s="115" t="str">
        <f t="shared" si="6"/>
        <v>#REF!</v>
      </c>
      <c r="K64" s="113"/>
      <c r="L64" s="116"/>
      <c r="M64" s="117"/>
      <c r="N64" s="118"/>
      <c r="O64" s="119"/>
    </row>
    <row r="65" ht="12.75" customHeight="1">
      <c r="A65" s="120"/>
      <c r="I65" s="120"/>
      <c r="K65" s="120"/>
      <c r="M65" s="121"/>
      <c r="N65" s="121"/>
      <c r="O65" s="122"/>
    </row>
    <row r="66" ht="12.75" customHeight="1">
      <c r="A66" s="120"/>
      <c r="I66" s="120"/>
      <c r="K66" s="120"/>
      <c r="M66" s="121"/>
      <c r="N66" s="121"/>
    </row>
    <row r="67" ht="12.75" customHeight="1">
      <c r="A67" s="120"/>
      <c r="M67" s="20"/>
      <c r="N67" s="20"/>
    </row>
    <row r="68" ht="12.75" customHeight="1">
      <c r="A68" s="120"/>
      <c r="M68" s="20"/>
      <c r="N68" s="20"/>
    </row>
    <row r="69" ht="12.75" customHeight="1">
      <c r="A69" s="120"/>
      <c r="M69" s="20"/>
      <c r="N69" s="20"/>
    </row>
    <row r="70" ht="12.75" customHeight="1">
      <c r="A70" s="120"/>
      <c r="M70" s="20"/>
      <c r="N70" s="20"/>
    </row>
    <row r="71" ht="12.75" customHeight="1">
      <c r="A71" s="120"/>
      <c r="M71" s="20"/>
      <c r="N71" s="20"/>
    </row>
    <row r="72" ht="12.75" customHeight="1">
      <c r="M72" s="20"/>
      <c r="N72" s="20"/>
    </row>
    <row r="73" ht="12.75" customHeight="1">
      <c r="M73" s="20"/>
      <c r="N73" s="20"/>
    </row>
    <row r="74" ht="12.75" customHeight="1">
      <c r="M74" s="20"/>
      <c r="N74" s="20"/>
    </row>
    <row r="75" ht="12.75" customHeight="1">
      <c r="M75" s="20"/>
      <c r="N75" s="20"/>
    </row>
    <row r="76" ht="12.75" customHeight="1">
      <c r="M76" s="20"/>
      <c r="N76" s="20"/>
    </row>
    <row r="77" ht="12.75" customHeight="1">
      <c r="M77" s="20"/>
      <c r="N77" s="20"/>
    </row>
    <row r="78" ht="12.75" customHeight="1">
      <c r="M78" s="20"/>
      <c r="N78" s="20"/>
    </row>
    <row r="79" ht="12.75" customHeight="1">
      <c r="M79" s="20"/>
      <c r="N79" s="20"/>
    </row>
    <row r="80" ht="12.75" customHeight="1">
      <c r="M80" s="20"/>
      <c r="N80" s="20"/>
    </row>
    <row r="81" ht="12.75" customHeight="1">
      <c r="M81" s="20"/>
      <c r="N81" s="20"/>
    </row>
    <row r="82" ht="12.75" customHeight="1">
      <c r="M82" s="20"/>
      <c r="N82" s="20"/>
    </row>
    <row r="83" ht="12.75" customHeight="1">
      <c r="M83" s="20"/>
      <c r="N83" s="20"/>
    </row>
    <row r="84" ht="12.75" customHeight="1">
      <c r="M84" s="20"/>
      <c r="N84" s="20"/>
    </row>
    <row r="85" ht="12.75" customHeight="1">
      <c r="M85" s="20"/>
      <c r="N85" s="20"/>
    </row>
    <row r="86" ht="12.75" customHeight="1">
      <c r="M86" s="20"/>
      <c r="N86" s="20"/>
    </row>
    <row r="87" ht="12.75" customHeight="1">
      <c r="M87" s="20"/>
      <c r="N87" s="20"/>
    </row>
    <row r="88" ht="12.75" customHeight="1">
      <c r="M88" s="20"/>
      <c r="N88" s="20"/>
    </row>
    <row r="89" ht="12.75" customHeight="1">
      <c r="M89" s="20"/>
      <c r="N89" s="20"/>
    </row>
    <row r="90" ht="12.75" customHeight="1">
      <c r="M90" s="20"/>
      <c r="N90" s="20"/>
    </row>
    <row r="91" ht="12.75" customHeight="1">
      <c r="M91" s="20"/>
      <c r="N91" s="20"/>
    </row>
    <row r="92" ht="12.75" customHeight="1">
      <c r="M92" s="20"/>
      <c r="N92" s="20"/>
    </row>
    <row r="93" ht="12.75" customHeight="1">
      <c r="M93" s="20"/>
      <c r="N93" s="20"/>
    </row>
    <row r="94" ht="12.75" customHeight="1">
      <c r="M94" s="20"/>
      <c r="N94" s="20"/>
    </row>
    <row r="95" ht="12.75" customHeight="1">
      <c r="M95" s="20"/>
      <c r="N95" s="20"/>
    </row>
    <row r="96" ht="12.75" customHeight="1">
      <c r="M96" s="20"/>
      <c r="N96" s="20"/>
    </row>
    <row r="97" ht="12.75" customHeight="1">
      <c r="M97" s="20"/>
      <c r="N97" s="20"/>
    </row>
    <row r="98" ht="12.75" customHeight="1">
      <c r="M98" s="20"/>
      <c r="N98" s="20"/>
    </row>
    <row r="99" ht="12.75" customHeight="1">
      <c r="M99" s="20"/>
      <c r="N99" s="20"/>
    </row>
    <row r="100" ht="12.75" customHeight="1">
      <c r="M100" s="20"/>
      <c r="N100" s="20"/>
    </row>
    <row r="101" ht="12.75" customHeight="1">
      <c r="M101" s="20"/>
      <c r="N101" s="20"/>
    </row>
    <row r="102" ht="12.75" customHeight="1">
      <c r="M102" s="20"/>
      <c r="N102" s="20"/>
    </row>
    <row r="103" ht="12.75" customHeight="1">
      <c r="M103" s="20"/>
      <c r="N103" s="20"/>
    </row>
    <row r="104" ht="12.75" customHeight="1">
      <c r="M104" s="20"/>
      <c r="N104" s="20"/>
    </row>
    <row r="105" ht="12.75" customHeight="1">
      <c r="M105" s="20"/>
      <c r="N105" s="20"/>
    </row>
    <row r="106" ht="12.75" customHeight="1">
      <c r="M106" s="20"/>
      <c r="N106" s="20"/>
    </row>
    <row r="107" ht="12.75" customHeight="1">
      <c r="M107" s="20"/>
      <c r="N107" s="20"/>
    </row>
    <row r="108" ht="12.75" customHeight="1">
      <c r="M108" s="20"/>
      <c r="N108" s="20"/>
    </row>
    <row r="109" ht="12.75" customHeight="1">
      <c r="M109" s="20"/>
      <c r="N109" s="20"/>
    </row>
    <row r="110" ht="12.75" customHeight="1">
      <c r="M110" s="20"/>
      <c r="N110" s="20"/>
    </row>
    <row r="111" ht="12.75" customHeight="1">
      <c r="M111" s="20"/>
      <c r="N111" s="20"/>
    </row>
    <row r="112" ht="12.75" customHeight="1">
      <c r="M112" s="20"/>
      <c r="N112" s="20"/>
    </row>
    <row r="113" ht="12.75" customHeight="1">
      <c r="M113" s="20"/>
      <c r="N113" s="20"/>
    </row>
    <row r="114" ht="12.75" customHeight="1">
      <c r="M114" s="20"/>
      <c r="N114" s="20"/>
    </row>
    <row r="115" ht="12.75" customHeight="1">
      <c r="M115" s="20"/>
      <c r="N115" s="20"/>
    </row>
    <row r="116" ht="12.75" customHeight="1">
      <c r="M116" s="20"/>
      <c r="N116" s="20"/>
    </row>
    <row r="117" ht="12.75" customHeight="1">
      <c r="M117" s="20"/>
      <c r="N117" s="20"/>
    </row>
    <row r="118" ht="12.75" customHeight="1">
      <c r="M118" s="20"/>
      <c r="N118" s="20"/>
    </row>
    <row r="119" ht="12.75" customHeight="1">
      <c r="M119" s="20"/>
      <c r="N119" s="20"/>
    </row>
    <row r="120" ht="12.75" customHeight="1">
      <c r="M120" s="20"/>
      <c r="N120" s="20"/>
    </row>
    <row r="121" ht="12.75" customHeight="1">
      <c r="M121" s="20"/>
      <c r="N121" s="20"/>
    </row>
    <row r="122" ht="12.75" customHeight="1">
      <c r="M122" s="20"/>
      <c r="N122" s="20"/>
    </row>
    <row r="123" ht="12.75" customHeight="1">
      <c r="M123" s="20"/>
      <c r="N123" s="20"/>
    </row>
    <row r="124" ht="12.75" customHeight="1">
      <c r="M124" s="20"/>
      <c r="N124" s="20"/>
    </row>
    <row r="125" ht="12.75" customHeight="1">
      <c r="M125" s="20"/>
      <c r="N125" s="20"/>
    </row>
    <row r="126" ht="12.75" customHeight="1">
      <c r="M126" s="20"/>
      <c r="N126" s="20"/>
    </row>
    <row r="127" ht="12.75" customHeight="1">
      <c r="M127" s="20"/>
      <c r="N127" s="20"/>
    </row>
    <row r="128" ht="12.75" customHeight="1">
      <c r="M128" s="20"/>
      <c r="N128" s="20"/>
    </row>
    <row r="129" ht="12.75" customHeight="1">
      <c r="M129" s="20"/>
      <c r="N129" s="20"/>
    </row>
    <row r="130" ht="12.75" customHeight="1">
      <c r="M130" s="20"/>
      <c r="N130" s="20"/>
    </row>
    <row r="131" ht="12.75" customHeight="1">
      <c r="M131" s="20"/>
      <c r="N131" s="20"/>
    </row>
    <row r="132" ht="12.75" customHeight="1">
      <c r="M132" s="20"/>
      <c r="N132" s="20"/>
    </row>
    <row r="133" ht="12.75" customHeight="1">
      <c r="M133" s="20"/>
      <c r="N133" s="20"/>
    </row>
    <row r="134" ht="12.75" customHeight="1">
      <c r="M134" s="20"/>
      <c r="N134" s="20"/>
    </row>
    <row r="135" ht="12.75" customHeight="1">
      <c r="M135" s="20"/>
      <c r="N135" s="20"/>
    </row>
    <row r="136" ht="12.75" customHeight="1">
      <c r="M136" s="20"/>
      <c r="N136" s="20"/>
    </row>
    <row r="137" ht="12.75" customHeight="1">
      <c r="M137" s="20"/>
      <c r="N137" s="20"/>
    </row>
    <row r="138" ht="12.75" customHeight="1">
      <c r="M138" s="20"/>
      <c r="N138" s="20"/>
    </row>
    <row r="139" ht="12.75" customHeight="1">
      <c r="M139" s="20"/>
      <c r="N139" s="20"/>
    </row>
    <row r="140" ht="12.75" customHeight="1">
      <c r="M140" s="20"/>
      <c r="N140" s="20"/>
    </row>
    <row r="141" ht="12.75" customHeight="1">
      <c r="M141" s="20"/>
      <c r="N141" s="20"/>
    </row>
    <row r="142" ht="12.75" customHeight="1">
      <c r="M142" s="20"/>
      <c r="N142" s="20"/>
    </row>
    <row r="143" ht="12.75" customHeight="1">
      <c r="M143" s="20"/>
      <c r="N143" s="20"/>
    </row>
    <row r="144" ht="12.75" customHeight="1">
      <c r="M144" s="20"/>
      <c r="N144" s="20"/>
    </row>
    <row r="145" ht="12.75" customHeight="1">
      <c r="M145" s="20"/>
      <c r="N145" s="20"/>
    </row>
    <row r="146" ht="12.75" customHeight="1">
      <c r="M146" s="20"/>
      <c r="N146" s="20"/>
    </row>
    <row r="147" ht="12.75" customHeight="1">
      <c r="M147" s="20"/>
      <c r="N147" s="20"/>
    </row>
    <row r="148" ht="12.75" customHeight="1">
      <c r="M148" s="20"/>
      <c r="N148" s="20"/>
    </row>
    <row r="149" ht="12.75" customHeight="1">
      <c r="M149" s="20"/>
      <c r="N149" s="20"/>
    </row>
    <row r="150" ht="12.75" customHeight="1">
      <c r="M150" s="20"/>
      <c r="N150" s="20"/>
    </row>
    <row r="151" ht="12.75" customHeight="1">
      <c r="M151" s="20"/>
      <c r="N151" s="20"/>
    </row>
    <row r="152" ht="12.75" customHeight="1">
      <c r="M152" s="20"/>
      <c r="N152" s="20"/>
    </row>
    <row r="153" ht="12.75" customHeight="1">
      <c r="M153" s="20"/>
      <c r="N153" s="20"/>
    </row>
    <row r="154" ht="12.75" customHeight="1">
      <c r="M154" s="20"/>
      <c r="N154" s="20"/>
    </row>
    <row r="155" ht="12.75" customHeight="1">
      <c r="M155" s="20"/>
      <c r="N155" s="20"/>
    </row>
    <row r="156" ht="12.75" customHeight="1">
      <c r="M156" s="20"/>
      <c r="N156" s="20"/>
    </row>
    <row r="157" ht="12.75" customHeight="1">
      <c r="M157" s="20"/>
      <c r="N157" s="20"/>
    </row>
    <row r="158" ht="12.75" customHeight="1">
      <c r="M158" s="20"/>
      <c r="N158" s="20"/>
    </row>
    <row r="159" ht="12.75" customHeight="1">
      <c r="M159" s="20"/>
      <c r="N159" s="20"/>
    </row>
    <row r="160" ht="12.75" customHeight="1">
      <c r="M160" s="20"/>
      <c r="N160" s="20"/>
    </row>
    <row r="161" ht="12.75" customHeight="1">
      <c r="M161" s="20"/>
      <c r="N161" s="20"/>
    </row>
    <row r="162" ht="12.75" customHeight="1">
      <c r="M162" s="20"/>
      <c r="N162" s="20"/>
    </row>
    <row r="163" ht="12.75" customHeight="1">
      <c r="M163" s="20"/>
      <c r="N163" s="20"/>
    </row>
    <row r="164" ht="12.75" customHeight="1">
      <c r="M164" s="20"/>
      <c r="N164" s="20"/>
    </row>
    <row r="165" ht="12.75" customHeight="1">
      <c r="M165" s="20"/>
      <c r="N165" s="20"/>
    </row>
    <row r="166" ht="12.75" customHeight="1">
      <c r="M166" s="20"/>
      <c r="N166" s="20"/>
    </row>
    <row r="167" ht="12.75" customHeight="1">
      <c r="M167" s="20"/>
      <c r="N167" s="20"/>
    </row>
    <row r="168" ht="12.75" customHeight="1">
      <c r="M168" s="20"/>
      <c r="N168" s="20"/>
    </row>
    <row r="169" ht="12.75" customHeight="1">
      <c r="M169" s="20"/>
      <c r="N169" s="20"/>
    </row>
    <row r="170" ht="12.75" customHeight="1">
      <c r="M170" s="20"/>
      <c r="N170" s="20"/>
    </row>
    <row r="171" ht="12.75" customHeight="1">
      <c r="M171" s="20"/>
      <c r="N171" s="20"/>
    </row>
    <row r="172" ht="12.75" customHeight="1">
      <c r="M172" s="20"/>
      <c r="N172" s="20"/>
    </row>
    <row r="173" ht="12.75" customHeight="1">
      <c r="M173" s="20"/>
      <c r="N173" s="20"/>
    </row>
    <row r="174" ht="12.75" customHeight="1">
      <c r="M174" s="20"/>
      <c r="N174" s="20"/>
    </row>
    <row r="175" ht="12.75" customHeight="1">
      <c r="M175" s="20"/>
      <c r="N175" s="20"/>
    </row>
    <row r="176" ht="12.75" customHeight="1">
      <c r="M176" s="20"/>
      <c r="N176" s="20"/>
    </row>
    <row r="177" ht="12.75" customHeight="1">
      <c r="M177" s="20"/>
      <c r="N177" s="20"/>
    </row>
    <row r="178" ht="12.75" customHeight="1">
      <c r="M178" s="20"/>
      <c r="N178" s="20"/>
    </row>
    <row r="179" ht="12.75" customHeight="1">
      <c r="M179" s="20"/>
      <c r="N179" s="20"/>
    </row>
    <row r="180" ht="12.75" customHeight="1">
      <c r="M180" s="20"/>
      <c r="N180" s="20"/>
    </row>
    <row r="181" ht="12.75" customHeight="1">
      <c r="M181" s="20"/>
      <c r="N181" s="20"/>
    </row>
    <row r="182" ht="12.75" customHeight="1">
      <c r="M182" s="20"/>
      <c r="N182" s="20"/>
    </row>
    <row r="183" ht="12.75" customHeight="1">
      <c r="M183" s="20"/>
      <c r="N183" s="20"/>
    </row>
    <row r="184" ht="12.75" customHeight="1">
      <c r="M184" s="20"/>
      <c r="N184" s="20"/>
    </row>
    <row r="185" ht="12.75" customHeight="1">
      <c r="M185" s="20"/>
      <c r="N185" s="20"/>
    </row>
    <row r="186" ht="12.75" customHeight="1">
      <c r="M186" s="20"/>
      <c r="N186" s="20"/>
    </row>
    <row r="187" ht="12.75" customHeight="1">
      <c r="M187" s="20"/>
      <c r="N187" s="20"/>
    </row>
    <row r="188" ht="12.75" customHeight="1">
      <c r="M188" s="20"/>
      <c r="N188" s="20"/>
    </row>
    <row r="189" ht="12.75" customHeight="1">
      <c r="M189" s="20"/>
      <c r="N189" s="20"/>
    </row>
    <row r="190" ht="12.75" customHeight="1">
      <c r="M190" s="20"/>
      <c r="N190" s="20"/>
    </row>
    <row r="191" ht="12.75" customHeight="1">
      <c r="M191" s="20"/>
      <c r="N191" s="20"/>
    </row>
    <row r="192" ht="12.75" customHeight="1">
      <c r="M192" s="20"/>
      <c r="N192" s="20"/>
    </row>
    <row r="193" ht="12.75" customHeight="1">
      <c r="M193" s="20"/>
      <c r="N193" s="20"/>
    </row>
    <row r="194" ht="12.75" customHeight="1">
      <c r="M194" s="20"/>
      <c r="N194" s="20"/>
    </row>
    <row r="195" ht="12.75" customHeight="1">
      <c r="M195" s="20"/>
      <c r="N195" s="20"/>
    </row>
    <row r="196" ht="12.75" customHeight="1">
      <c r="M196" s="20"/>
      <c r="N196" s="20"/>
    </row>
    <row r="197" ht="12.75" customHeight="1">
      <c r="M197" s="20"/>
      <c r="N197" s="20"/>
    </row>
    <row r="198" ht="12.75" customHeight="1">
      <c r="M198" s="20"/>
      <c r="N198" s="20"/>
    </row>
    <row r="199" ht="12.75" customHeight="1">
      <c r="M199" s="20"/>
      <c r="N199" s="20"/>
    </row>
    <row r="200" ht="12.75" customHeight="1">
      <c r="M200" s="20"/>
      <c r="N200" s="20"/>
    </row>
    <row r="201" ht="12.75" customHeight="1">
      <c r="M201" s="20"/>
      <c r="N201" s="20"/>
    </row>
    <row r="202" ht="12.75" customHeight="1">
      <c r="M202" s="20"/>
      <c r="N202" s="20"/>
    </row>
    <row r="203" ht="12.75" customHeight="1">
      <c r="M203" s="20"/>
      <c r="N203" s="20"/>
    </row>
    <row r="204" ht="12.75" customHeight="1">
      <c r="M204" s="20"/>
      <c r="N204" s="20"/>
    </row>
    <row r="205" ht="12.75" customHeight="1">
      <c r="M205" s="20"/>
      <c r="N205" s="20"/>
    </row>
    <row r="206" ht="12.75" customHeight="1">
      <c r="M206" s="20"/>
      <c r="N206" s="20"/>
    </row>
    <row r="207" ht="12.75" customHeight="1">
      <c r="M207" s="20"/>
      <c r="N207" s="20"/>
    </row>
    <row r="208" ht="12.75" customHeight="1">
      <c r="M208" s="20"/>
      <c r="N208" s="20"/>
    </row>
    <row r="209" ht="12.75" customHeight="1">
      <c r="M209" s="20"/>
      <c r="N209" s="20"/>
    </row>
    <row r="210" ht="12.75" customHeight="1">
      <c r="M210" s="20"/>
      <c r="N210" s="20"/>
    </row>
    <row r="211" ht="12.75" customHeight="1">
      <c r="M211" s="20"/>
      <c r="N211" s="20"/>
    </row>
    <row r="212" ht="12.75" customHeight="1">
      <c r="M212" s="20"/>
      <c r="N212" s="20"/>
    </row>
    <row r="213" ht="12.75" customHeight="1">
      <c r="M213" s="20"/>
      <c r="N213" s="20"/>
    </row>
    <row r="214" ht="12.75" customHeight="1">
      <c r="M214" s="20"/>
      <c r="N214" s="20"/>
    </row>
    <row r="215" ht="12.75" customHeight="1">
      <c r="M215" s="20"/>
      <c r="N215" s="20"/>
    </row>
    <row r="216" ht="12.75" customHeight="1">
      <c r="M216" s="20"/>
      <c r="N216" s="20"/>
    </row>
    <row r="217" ht="12.75" customHeight="1">
      <c r="M217" s="20"/>
      <c r="N217" s="20"/>
    </row>
    <row r="218" ht="12.75" customHeight="1">
      <c r="M218" s="20"/>
      <c r="N218" s="20"/>
    </row>
    <row r="219" ht="12.75" customHeight="1">
      <c r="M219" s="20"/>
      <c r="N219" s="20"/>
    </row>
    <row r="220" ht="12.75" customHeight="1">
      <c r="M220" s="20"/>
      <c r="N220" s="20"/>
    </row>
    <row r="221" ht="12.75" customHeight="1">
      <c r="M221" s="20"/>
      <c r="N221" s="20"/>
    </row>
    <row r="222" ht="12.75" customHeight="1">
      <c r="M222" s="20"/>
      <c r="N222" s="20"/>
    </row>
    <row r="223" ht="12.75" customHeight="1">
      <c r="M223" s="20"/>
      <c r="N223" s="20"/>
    </row>
    <row r="224" ht="12.75" customHeight="1">
      <c r="M224" s="20"/>
      <c r="N224" s="20"/>
    </row>
    <row r="225" ht="12.75" customHeight="1">
      <c r="M225" s="20"/>
      <c r="N225" s="20"/>
    </row>
    <row r="226" ht="12.75" customHeight="1">
      <c r="M226" s="20"/>
      <c r="N226" s="20"/>
    </row>
    <row r="227" ht="12.75" customHeight="1">
      <c r="M227" s="20"/>
      <c r="N227" s="20"/>
    </row>
    <row r="228" ht="12.75" customHeight="1">
      <c r="M228" s="20"/>
      <c r="N228" s="20"/>
    </row>
    <row r="229" ht="12.75" customHeight="1">
      <c r="M229" s="20"/>
      <c r="N229" s="20"/>
    </row>
    <row r="230" ht="12.75" customHeight="1">
      <c r="M230" s="20"/>
      <c r="N230" s="20"/>
    </row>
    <row r="231" ht="12.75" customHeight="1">
      <c r="M231" s="20"/>
      <c r="N231" s="20"/>
    </row>
    <row r="232" ht="12.75" customHeight="1">
      <c r="M232" s="20"/>
      <c r="N232" s="20"/>
    </row>
    <row r="233" ht="12.75" customHeight="1">
      <c r="M233" s="20"/>
      <c r="N233" s="20"/>
    </row>
    <row r="234" ht="12.75" customHeight="1">
      <c r="M234" s="20"/>
      <c r="N234" s="20"/>
    </row>
    <row r="235" ht="12.75" customHeight="1">
      <c r="M235" s="20"/>
      <c r="N235" s="20"/>
    </row>
    <row r="236" ht="12.75" customHeight="1">
      <c r="M236" s="20"/>
      <c r="N236" s="20"/>
    </row>
    <row r="237" ht="12.75" customHeight="1">
      <c r="M237" s="20"/>
      <c r="N237" s="20"/>
    </row>
    <row r="238" ht="12.75" customHeight="1">
      <c r="M238" s="20"/>
      <c r="N238" s="20"/>
    </row>
    <row r="239" ht="12.75" customHeight="1">
      <c r="M239" s="20"/>
      <c r="N239" s="20"/>
    </row>
    <row r="240" ht="12.75" customHeight="1">
      <c r="M240" s="20"/>
      <c r="N240" s="20"/>
    </row>
    <row r="241" ht="12.75" customHeight="1">
      <c r="M241" s="20"/>
      <c r="N241" s="20"/>
    </row>
    <row r="242" ht="12.75" customHeight="1">
      <c r="M242" s="20"/>
      <c r="N242" s="20"/>
    </row>
    <row r="243" ht="12.75" customHeight="1">
      <c r="M243" s="20"/>
      <c r="N243" s="20"/>
    </row>
    <row r="244" ht="12.75" customHeight="1">
      <c r="M244" s="20"/>
      <c r="N244" s="20"/>
    </row>
    <row r="245" ht="12.75" customHeight="1">
      <c r="M245" s="20"/>
      <c r="N245" s="20"/>
    </row>
    <row r="246" ht="12.75" customHeight="1">
      <c r="M246" s="20"/>
      <c r="N246" s="20"/>
    </row>
    <row r="247" ht="12.75" customHeight="1">
      <c r="M247" s="20"/>
      <c r="N247" s="20"/>
    </row>
    <row r="248" ht="12.75" customHeight="1">
      <c r="M248" s="20"/>
      <c r="N248" s="20"/>
    </row>
    <row r="249" ht="12.75" customHeight="1">
      <c r="M249" s="20"/>
      <c r="N249" s="20"/>
    </row>
    <row r="250" ht="12.75" customHeight="1">
      <c r="M250" s="20"/>
      <c r="N250" s="20"/>
    </row>
    <row r="251" ht="12.75" customHeight="1">
      <c r="M251" s="20"/>
      <c r="N251" s="20"/>
    </row>
    <row r="252" ht="12.75" customHeight="1">
      <c r="M252" s="20"/>
      <c r="N252" s="20"/>
    </row>
    <row r="253" ht="12.75" customHeight="1">
      <c r="M253" s="20"/>
      <c r="N253" s="20"/>
    </row>
    <row r="254" ht="12.75" customHeight="1">
      <c r="M254" s="20"/>
      <c r="N254" s="20"/>
    </row>
    <row r="255" ht="12.75" customHeight="1">
      <c r="M255" s="20"/>
      <c r="N255" s="20"/>
    </row>
    <row r="256" ht="12.75" customHeight="1">
      <c r="M256" s="20"/>
      <c r="N256" s="20"/>
    </row>
    <row r="257" ht="12.75" customHeight="1">
      <c r="M257" s="20"/>
      <c r="N257" s="20"/>
    </row>
    <row r="258" ht="12.75" customHeight="1">
      <c r="M258" s="20"/>
      <c r="N258" s="20"/>
    </row>
    <row r="259" ht="12.75" customHeight="1">
      <c r="M259" s="20"/>
      <c r="N259" s="20"/>
    </row>
    <row r="260" ht="12.75" customHeight="1">
      <c r="M260" s="20"/>
      <c r="N260" s="20"/>
    </row>
    <row r="261" ht="12.75" customHeight="1">
      <c r="M261" s="20"/>
      <c r="N261" s="20"/>
    </row>
    <row r="262" ht="12.75" customHeight="1">
      <c r="M262" s="20"/>
      <c r="N262" s="20"/>
    </row>
    <row r="263" ht="12.75" customHeight="1">
      <c r="M263" s="20"/>
      <c r="N263" s="20"/>
    </row>
    <row r="264" ht="12.75" customHeight="1">
      <c r="M264" s="20"/>
      <c r="N264" s="20"/>
    </row>
    <row r="265" ht="12.75" customHeight="1">
      <c r="M265" s="20"/>
      <c r="N265" s="20"/>
    </row>
    <row r="266" ht="12.75" customHeight="1">
      <c r="M266" s="20"/>
      <c r="N266" s="20"/>
    </row>
    <row r="267" ht="12.75" customHeight="1">
      <c r="M267" s="20"/>
      <c r="N267" s="20"/>
    </row>
    <row r="268" ht="12.75" customHeight="1">
      <c r="M268" s="20"/>
      <c r="N268" s="20"/>
    </row>
    <row r="269" ht="12.75" customHeight="1">
      <c r="M269" s="20"/>
      <c r="N269" s="20"/>
    </row>
    <row r="270" ht="12.75" customHeight="1">
      <c r="M270" s="20"/>
      <c r="N270" s="20"/>
    </row>
    <row r="271" ht="12.75" customHeight="1">
      <c r="M271" s="20"/>
      <c r="N271" s="20"/>
    </row>
    <row r="272" ht="12.75" customHeight="1">
      <c r="M272" s="20"/>
      <c r="N272" s="20"/>
    </row>
    <row r="273" ht="12.75" customHeight="1">
      <c r="M273" s="20"/>
      <c r="N273" s="20"/>
    </row>
    <row r="274" ht="12.75" customHeight="1">
      <c r="M274" s="20"/>
      <c r="N274" s="20"/>
    </row>
    <row r="275" ht="12.75" customHeight="1">
      <c r="M275" s="20"/>
      <c r="N275" s="20"/>
    </row>
    <row r="276" ht="12.75" customHeight="1">
      <c r="M276" s="20"/>
      <c r="N276" s="20"/>
    </row>
    <row r="277" ht="12.75" customHeight="1">
      <c r="M277" s="20"/>
      <c r="N277" s="20"/>
    </row>
    <row r="278" ht="12.75" customHeight="1">
      <c r="M278" s="20"/>
      <c r="N278" s="20"/>
    </row>
    <row r="279" ht="12.75" customHeight="1">
      <c r="M279" s="20"/>
      <c r="N279" s="20"/>
    </row>
    <row r="280" ht="12.75" customHeight="1">
      <c r="M280" s="20"/>
      <c r="N280" s="20"/>
    </row>
    <row r="281" ht="12.75" customHeight="1">
      <c r="M281" s="20"/>
      <c r="N281" s="20"/>
    </row>
    <row r="282" ht="12.75" customHeight="1">
      <c r="M282" s="20"/>
      <c r="N282" s="20"/>
    </row>
    <row r="283" ht="12.75" customHeight="1">
      <c r="M283" s="20"/>
      <c r="N283" s="20"/>
    </row>
    <row r="284" ht="12.75" customHeight="1">
      <c r="M284" s="20"/>
      <c r="N284" s="20"/>
    </row>
    <row r="285" ht="12.75" customHeight="1">
      <c r="M285" s="20"/>
      <c r="N285" s="20"/>
    </row>
    <row r="286" ht="12.75" customHeight="1">
      <c r="M286" s="20"/>
      <c r="N286" s="20"/>
    </row>
    <row r="287" ht="12.75" customHeight="1">
      <c r="M287" s="20"/>
      <c r="N287" s="20"/>
    </row>
    <row r="288" ht="12.75" customHeight="1">
      <c r="M288" s="20"/>
      <c r="N288" s="20"/>
    </row>
    <row r="289" ht="12.75" customHeight="1">
      <c r="M289" s="20"/>
      <c r="N289" s="20"/>
    </row>
    <row r="290" ht="12.75" customHeight="1">
      <c r="M290" s="20"/>
      <c r="N290" s="20"/>
    </row>
    <row r="291" ht="12.75" customHeight="1">
      <c r="M291" s="20"/>
      <c r="N291" s="20"/>
    </row>
    <row r="292" ht="12.75" customHeight="1">
      <c r="M292" s="20"/>
      <c r="N292" s="20"/>
    </row>
    <row r="293" ht="12.75" customHeight="1">
      <c r="M293" s="20"/>
      <c r="N293" s="20"/>
    </row>
    <row r="294" ht="12.75" customHeight="1">
      <c r="M294" s="20"/>
      <c r="N294" s="20"/>
    </row>
    <row r="295" ht="12.75" customHeight="1">
      <c r="M295" s="20"/>
      <c r="N295" s="20"/>
    </row>
    <row r="296" ht="12.75" customHeight="1">
      <c r="M296" s="20"/>
      <c r="N296" s="20"/>
    </row>
    <row r="297" ht="12.75" customHeight="1">
      <c r="M297" s="20"/>
      <c r="N297" s="20"/>
    </row>
    <row r="298" ht="12.75" customHeight="1">
      <c r="M298" s="20"/>
      <c r="N298" s="20"/>
    </row>
    <row r="299" ht="12.75" customHeight="1">
      <c r="M299" s="20"/>
      <c r="N299" s="20"/>
    </row>
    <row r="300" ht="12.75" customHeight="1">
      <c r="M300" s="20"/>
      <c r="N300" s="20"/>
    </row>
    <row r="301" ht="12.75" customHeight="1">
      <c r="M301" s="20"/>
      <c r="N301" s="20"/>
    </row>
    <row r="302" ht="12.75" customHeight="1">
      <c r="M302" s="20"/>
      <c r="N302" s="20"/>
    </row>
    <row r="303" ht="12.75" customHeight="1">
      <c r="M303" s="20"/>
      <c r="N303" s="20"/>
    </row>
    <row r="304" ht="12.75" customHeight="1">
      <c r="M304" s="20"/>
      <c r="N304" s="20"/>
    </row>
    <row r="305" ht="12.75" customHeight="1">
      <c r="M305" s="20"/>
      <c r="N305" s="20"/>
    </row>
    <row r="306" ht="12.75" customHeight="1">
      <c r="M306" s="20"/>
      <c r="N306" s="20"/>
    </row>
    <row r="307" ht="12.75" customHeight="1">
      <c r="M307" s="20"/>
      <c r="N307" s="20"/>
    </row>
    <row r="308" ht="12.75" customHeight="1">
      <c r="M308" s="20"/>
      <c r="N308" s="20"/>
    </row>
    <row r="309" ht="12.75" customHeight="1">
      <c r="M309" s="20"/>
      <c r="N309" s="20"/>
    </row>
    <row r="310" ht="12.75" customHeight="1">
      <c r="M310" s="20"/>
      <c r="N310" s="20"/>
    </row>
    <row r="311" ht="12.75" customHeight="1">
      <c r="M311" s="20"/>
      <c r="N311" s="20"/>
    </row>
    <row r="312" ht="12.75" customHeight="1">
      <c r="M312" s="20"/>
      <c r="N312" s="20"/>
    </row>
    <row r="313" ht="12.75" customHeight="1">
      <c r="M313" s="20"/>
      <c r="N313" s="20"/>
    </row>
    <row r="314" ht="12.75" customHeight="1">
      <c r="M314" s="20"/>
      <c r="N314" s="20"/>
    </row>
    <row r="315" ht="12.75" customHeight="1">
      <c r="M315" s="20"/>
      <c r="N315" s="20"/>
    </row>
    <row r="316" ht="12.75" customHeight="1">
      <c r="M316" s="20"/>
      <c r="N316" s="20"/>
    </row>
    <row r="317" ht="12.75" customHeight="1">
      <c r="M317" s="20"/>
      <c r="N317" s="20"/>
    </row>
    <row r="318" ht="12.75" customHeight="1">
      <c r="M318" s="20"/>
      <c r="N318" s="20"/>
    </row>
    <row r="319" ht="12.75" customHeight="1">
      <c r="M319" s="20"/>
      <c r="N319" s="20"/>
    </row>
    <row r="320" ht="12.75" customHeight="1">
      <c r="M320" s="20"/>
      <c r="N320" s="20"/>
    </row>
    <row r="321" ht="12.75" customHeight="1">
      <c r="M321" s="20"/>
      <c r="N321" s="20"/>
    </row>
    <row r="322" ht="12.75" customHeight="1">
      <c r="M322" s="20"/>
      <c r="N322" s="20"/>
    </row>
    <row r="323" ht="12.75" customHeight="1">
      <c r="M323" s="20"/>
      <c r="N323" s="20"/>
    </row>
    <row r="324" ht="12.75" customHeight="1">
      <c r="M324" s="20"/>
      <c r="N324" s="20"/>
    </row>
    <row r="325" ht="12.75" customHeight="1">
      <c r="M325" s="20"/>
      <c r="N325" s="20"/>
    </row>
    <row r="326" ht="12.75" customHeight="1">
      <c r="M326" s="20"/>
      <c r="N326" s="20"/>
    </row>
    <row r="327" ht="12.75" customHeight="1">
      <c r="M327" s="20"/>
      <c r="N327" s="20"/>
    </row>
    <row r="328" ht="12.75" customHeight="1">
      <c r="M328" s="20"/>
      <c r="N328" s="20"/>
    </row>
    <row r="329" ht="12.75" customHeight="1">
      <c r="M329" s="20"/>
      <c r="N329" s="20"/>
    </row>
    <row r="330" ht="12.75" customHeight="1">
      <c r="M330" s="20"/>
      <c r="N330" s="20"/>
    </row>
    <row r="331" ht="12.75" customHeight="1">
      <c r="M331" s="20"/>
      <c r="N331" s="20"/>
    </row>
    <row r="332" ht="12.75" customHeight="1">
      <c r="M332" s="20"/>
      <c r="N332" s="20"/>
    </row>
    <row r="333" ht="12.75" customHeight="1">
      <c r="M333" s="20"/>
      <c r="N333" s="20"/>
    </row>
    <row r="334" ht="12.75" customHeight="1">
      <c r="M334" s="20"/>
      <c r="N334" s="20"/>
    </row>
    <row r="335" ht="12.75" customHeight="1">
      <c r="M335" s="20"/>
      <c r="N335" s="20"/>
    </row>
    <row r="336" ht="12.75" customHeight="1">
      <c r="M336" s="20"/>
      <c r="N336" s="20"/>
    </row>
    <row r="337" ht="12.75" customHeight="1">
      <c r="M337" s="20"/>
      <c r="N337" s="20"/>
    </row>
    <row r="338" ht="12.75" customHeight="1">
      <c r="M338" s="20"/>
      <c r="N338" s="20"/>
    </row>
    <row r="339" ht="12.75" customHeight="1">
      <c r="M339" s="20"/>
      <c r="N339" s="20"/>
    </row>
    <row r="340" ht="12.75" customHeight="1">
      <c r="M340" s="20"/>
      <c r="N340" s="20"/>
    </row>
    <row r="341" ht="12.75" customHeight="1">
      <c r="M341" s="20"/>
      <c r="N341" s="20"/>
    </row>
    <row r="342" ht="12.75" customHeight="1">
      <c r="M342" s="20"/>
      <c r="N342" s="20"/>
    </row>
    <row r="343" ht="12.75" customHeight="1">
      <c r="M343" s="20"/>
      <c r="N343" s="20"/>
    </row>
    <row r="344" ht="12.75" customHeight="1">
      <c r="M344" s="20"/>
      <c r="N344" s="20"/>
    </row>
    <row r="345" ht="12.75" customHeight="1">
      <c r="M345" s="20"/>
      <c r="N345" s="20"/>
    </row>
    <row r="346" ht="12.75" customHeight="1">
      <c r="M346" s="20"/>
      <c r="N346" s="20"/>
    </row>
    <row r="347" ht="12.75" customHeight="1">
      <c r="M347" s="20"/>
      <c r="N347" s="20"/>
    </row>
    <row r="348" ht="12.75" customHeight="1">
      <c r="M348" s="20"/>
      <c r="N348" s="20"/>
    </row>
    <row r="349" ht="12.75" customHeight="1">
      <c r="M349" s="20"/>
      <c r="N349" s="20"/>
    </row>
    <row r="350" ht="12.75" customHeight="1">
      <c r="M350" s="20"/>
      <c r="N350" s="20"/>
    </row>
    <row r="351" ht="12.75" customHeight="1">
      <c r="M351" s="20"/>
      <c r="N351" s="20"/>
    </row>
    <row r="352" ht="12.75" customHeight="1">
      <c r="M352" s="20"/>
      <c r="N352" s="20"/>
    </row>
    <row r="353" ht="12.75" customHeight="1">
      <c r="M353" s="20"/>
      <c r="N353" s="20"/>
    </row>
    <row r="354" ht="12.75" customHeight="1">
      <c r="M354" s="20"/>
      <c r="N354" s="20"/>
    </row>
    <row r="355" ht="12.75" customHeight="1">
      <c r="M355" s="20"/>
      <c r="N355" s="20"/>
    </row>
    <row r="356" ht="12.75" customHeight="1">
      <c r="M356" s="20"/>
      <c r="N356" s="20"/>
    </row>
    <row r="357" ht="12.75" customHeight="1">
      <c r="M357" s="20"/>
      <c r="N357" s="20"/>
    </row>
    <row r="358" ht="12.75" customHeight="1">
      <c r="M358" s="20"/>
      <c r="N358" s="20"/>
    </row>
    <row r="359" ht="12.75" customHeight="1">
      <c r="M359" s="20"/>
      <c r="N359" s="20"/>
    </row>
    <row r="360" ht="12.75" customHeight="1">
      <c r="M360" s="20"/>
      <c r="N360" s="20"/>
    </row>
    <row r="361" ht="12.75" customHeight="1">
      <c r="M361" s="20"/>
      <c r="N361" s="20"/>
    </row>
    <row r="362" ht="12.75" customHeight="1">
      <c r="M362" s="20"/>
      <c r="N362" s="20"/>
    </row>
    <row r="363" ht="12.75" customHeight="1">
      <c r="M363" s="20"/>
      <c r="N363" s="20"/>
    </row>
    <row r="364" ht="12.75" customHeight="1">
      <c r="M364" s="20"/>
      <c r="N364" s="20"/>
    </row>
    <row r="365" ht="12.75" customHeight="1">
      <c r="M365" s="20"/>
      <c r="N365" s="20"/>
    </row>
    <row r="366" ht="12.75" customHeight="1">
      <c r="M366" s="20"/>
      <c r="N366" s="20"/>
    </row>
    <row r="367" ht="12.75" customHeight="1">
      <c r="M367" s="20"/>
      <c r="N367" s="20"/>
    </row>
    <row r="368" ht="12.75" customHeight="1">
      <c r="M368" s="20"/>
      <c r="N368" s="20"/>
    </row>
    <row r="369" ht="12.75" customHeight="1">
      <c r="M369" s="20"/>
      <c r="N369" s="20"/>
    </row>
    <row r="370" ht="12.75" customHeight="1">
      <c r="M370" s="20"/>
      <c r="N370" s="20"/>
    </row>
    <row r="371" ht="12.75" customHeight="1">
      <c r="M371" s="20"/>
      <c r="N371" s="20"/>
    </row>
    <row r="372" ht="12.75" customHeight="1">
      <c r="M372" s="20"/>
      <c r="N372" s="20"/>
    </row>
    <row r="373" ht="12.75" customHeight="1">
      <c r="M373" s="20"/>
      <c r="N373" s="20"/>
    </row>
    <row r="374" ht="12.75" customHeight="1">
      <c r="M374" s="20"/>
      <c r="N374" s="20"/>
    </row>
    <row r="375" ht="12.75" customHeight="1">
      <c r="M375" s="20"/>
      <c r="N375" s="20"/>
    </row>
    <row r="376" ht="12.75" customHeight="1">
      <c r="M376" s="20"/>
      <c r="N376" s="20"/>
    </row>
    <row r="377" ht="12.75" customHeight="1">
      <c r="M377" s="20"/>
      <c r="N377" s="20"/>
    </row>
    <row r="378" ht="12.75" customHeight="1">
      <c r="M378" s="20"/>
      <c r="N378" s="20"/>
    </row>
    <row r="379" ht="12.75" customHeight="1">
      <c r="M379" s="20"/>
      <c r="N379" s="20"/>
    </row>
    <row r="380" ht="12.75" customHeight="1">
      <c r="M380" s="20"/>
      <c r="N380" s="20"/>
    </row>
    <row r="381" ht="12.75" customHeight="1">
      <c r="M381" s="20"/>
      <c r="N381" s="20"/>
    </row>
    <row r="382" ht="12.75" customHeight="1">
      <c r="M382" s="20"/>
      <c r="N382" s="20"/>
    </row>
    <row r="383" ht="12.75" customHeight="1">
      <c r="M383" s="20"/>
      <c r="N383" s="20"/>
    </row>
    <row r="384" ht="12.75" customHeight="1">
      <c r="M384" s="20"/>
      <c r="N384" s="20"/>
    </row>
    <row r="385" ht="12.75" customHeight="1">
      <c r="M385" s="20"/>
      <c r="N385" s="20"/>
    </row>
    <row r="386" ht="12.75" customHeight="1">
      <c r="M386" s="20"/>
      <c r="N386" s="20"/>
    </row>
    <row r="387" ht="12.75" customHeight="1">
      <c r="M387" s="20"/>
      <c r="N387" s="20"/>
    </row>
    <row r="388" ht="12.75" customHeight="1">
      <c r="M388" s="20"/>
      <c r="N388" s="20"/>
    </row>
    <row r="389" ht="12.75" customHeight="1">
      <c r="M389" s="20"/>
      <c r="N389" s="20"/>
    </row>
    <row r="390" ht="12.75" customHeight="1">
      <c r="M390" s="20"/>
      <c r="N390" s="20"/>
    </row>
    <row r="391" ht="12.75" customHeight="1">
      <c r="M391" s="20"/>
      <c r="N391" s="20"/>
    </row>
    <row r="392" ht="12.75" customHeight="1">
      <c r="M392" s="20"/>
      <c r="N392" s="20"/>
    </row>
    <row r="393" ht="12.75" customHeight="1">
      <c r="M393" s="20"/>
      <c r="N393" s="20"/>
    </row>
    <row r="394" ht="12.75" customHeight="1">
      <c r="M394" s="20"/>
      <c r="N394" s="20"/>
    </row>
    <row r="395" ht="12.75" customHeight="1">
      <c r="M395" s="20"/>
      <c r="N395" s="20"/>
    </row>
    <row r="396" ht="12.75" customHeight="1">
      <c r="M396" s="20"/>
      <c r="N396" s="20"/>
    </row>
    <row r="397" ht="12.75" customHeight="1">
      <c r="M397" s="20"/>
      <c r="N397" s="20"/>
    </row>
    <row r="398" ht="12.75" customHeight="1">
      <c r="M398" s="20"/>
      <c r="N398" s="20"/>
    </row>
    <row r="399" ht="12.75" customHeight="1">
      <c r="M399" s="20"/>
      <c r="N399" s="20"/>
    </row>
    <row r="400" ht="12.75" customHeight="1">
      <c r="M400" s="20"/>
      <c r="N400" s="20"/>
    </row>
    <row r="401" ht="12.75" customHeight="1">
      <c r="M401" s="20"/>
      <c r="N401" s="20"/>
    </row>
    <row r="402" ht="12.75" customHeight="1">
      <c r="M402" s="20"/>
      <c r="N402" s="20"/>
    </row>
    <row r="403" ht="12.75" customHeight="1">
      <c r="M403" s="20"/>
      <c r="N403" s="20"/>
    </row>
    <row r="404" ht="12.75" customHeight="1">
      <c r="M404" s="20"/>
      <c r="N404" s="20"/>
    </row>
    <row r="405" ht="12.75" customHeight="1">
      <c r="M405" s="20"/>
      <c r="N405" s="20"/>
    </row>
    <row r="406" ht="12.75" customHeight="1">
      <c r="M406" s="20"/>
      <c r="N406" s="20"/>
    </row>
    <row r="407" ht="12.75" customHeight="1">
      <c r="M407" s="20"/>
      <c r="N407" s="20"/>
    </row>
    <row r="408" ht="12.75" customHeight="1">
      <c r="M408" s="20"/>
      <c r="N408" s="20"/>
    </row>
    <row r="409" ht="12.75" customHeight="1">
      <c r="M409" s="20"/>
      <c r="N409" s="20"/>
    </row>
    <row r="410" ht="12.75" customHeight="1">
      <c r="M410" s="20"/>
      <c r="N410" s="20"/>
    </row>
    <row r="411" ht="12.75" customHeight="1">
      <c r="M411" s="20"/>
      <c r="N411" s="20"/>
    </row>
    <row r="412" ht="12.75" customHeight="1">
      <c r="M412" s="20"/>
      <c r="N412" s="20"/>
    </row>
    <row r="413" ht="12.75" customHeight="1">
      <c r="M413" s="20"/>
      <c r="N413" s="20"/>
    </row>
    <row r="414" ht="12.75" customHeight="1">
      <c r="M414" s="20"/>
      <c r="N414" s="20"/>
    </row>
    <row r="415" ht="12.75" customHeight="1">
      <c r="M415" s="20"/>
      <c r="N415" s="20"/>
    </row>
    <row r="416" ht="12.75" customHeight="1">
      <c r="M416" s="20"/>
      <c r="N416" s="20"/>
    </row>
    <row r="417" ht="12.75" customHeight="1">
      <c r="M417" s="20"/>
      <c r="N417" s="20"/>
    </row>
    <row r="418" ht="12.75" customHeight="1">
      <c r="M418" s="20"/>
      <c r="N418" s="20"/>
    </row>
    <row r="419" ht="12.75" customHeight="1">
      <c r="M419" s="20"/>
      <c r="N419" s="20"/>
    </row>
    <row r="420" ht="12.75" customHeight="1">
      <c r="M420" s="20"/>
      <c r="N420" s="20"/>
    </row>
    <row r="421" ht="12.75" customHeight="1">
      <c r="M421" s="20"/>
      <c r="N421" s="20"/>
    </row>
    <row r="422" ht="12.75" customHeight="1">
      <c r="M422" s="20"/>
      <c r="N422" s="20"/>
    </row>
    <row r="423" ht="12.75" customHeight="1">
      <c r="M423" s="20"/>
      <c r="N423" s="20"/>
    </row>
    <row r="424" ht="12.75" customHeight="1">
      <c r="M424" s="20"/>
      <c r="N424" s="20"/>
    </row>
    <row r="425" ht="12.75" customHeight="1">
      <c r="M425" s="20"/>
      <c r="N425" s="20"/>
    </row>
    <row r="426" ht="12.75" customHeight="1">
      <c r="M426" s="20"/>
      <c r="N426" s="20"/>
    </row>
    <row r="427" ht="12.75" customHeight="1">
      <c r="M427" s="20"/>
      <c r="N427" s="20"/>
    </row>
    <row r="428" ht="12.75" customHeight="1">
      <c r="M428" s="20"/>
      <c r="N428" s="20"/>
    </row>
    <row r="429" ht="12.75" customHeight="1">
      <c r="M429" s="20"/>
      <c r="N429" s="20"/>
    </row>
    <row r="430" ht="12.75" customHeight="1">
      <c r="M430" s="20"/>
      <c r="N430" s="20"/>
    </row>
    <row r="431" ht="12.75" customHeight="1">
      <c r="M431" s="20"/>
      <c r="N431" s="20"/>
    </row>
    <row r="432" ht="12.75" customHeight="1">
      <c r="M432" s="20"/>
      <c r="N432" s="20"/>
    </row>
    <row r="433" ht="12.75" customHeight="1">
      <c r="M433" s="20"/>
      <c r="N433" s="20"/>
    </row>
    <row r="434" ht="12.75" customHeight="1">
      <c r="M434" s="20"/>
      <c r="N434" s="20"/>
    </row>
    <row r="435" ht="12.75" customHeight="1">
      <c r="M435" s="20"/>
      <c r="N435" s="20"/>
    </row>
    <row r="436" ht="12.75" customHeight="1">
      <c r="M436" s="20"/>
      <c r="N436" s="20"/>
    </row>
    <row r="437" ht="12.75" customHeight="1">
      <c r="M437" s="20"/>
      <c r="N437" s="20"/>
    </row>
    <row r="438" ht="12.75" customHeight="1">
      <c r="M438" s="20"/>
      <c r="N438" s="20"/>
    </row>
    <row r="439" ht="12.75" customHeight="1">
      <c r="M439" s="20"/>
      <c r="N439" s="20"/>
    </row>
    <row r="440" ht="12.75" customHeight="1">
      <c r="M440" s="20"/>
      <c r="N440" s="20"/>
    </row>
    <row r="441" ht="12.75" customHeight="1">
      <c r="M441" s="20"/>
      <c r="N441" s="20"/>
    </row>
    <row r="442" ht="12.75" customHeight="1">
      <c r="M442" s="20"/>
      <c r="N442" s="20"/>
    </row>
    <row r="443" ht="12.75" customHeight="1">
      <c r="M443" s="20"/>
      <c r="N443" s="20"/>
    </row>
    <row r="444" ht="12.75" customHeight="1">
      <c r="M444" s="20"/>
      <c r="N444" s="20"/>
    </row>
    <row r="445" ht="12.75" customHeight="1">
      <c r="M445" s="20"/>
      <c r="N445" s="20"/>
    </row>
    <row r="446" ht="12.75" customHeight="1">
      <c r="M446" s="20"/>
      <c r="N446" s="20"/>
    </row>
    <row r="447" ht="12.75" customHeight="1">
      <c r="M447" s="20"/>
      <c r="N447" s="20"/>
    </row>
    <row r="448" ht="12.75" customHeight="1">
      <c r="M448" s="20"/>
      <c r="N448" s="20"/>
    </row>
    <row r="449" ht="12.75" customHeight="1">
      <c r="M449" s="20"/>
      <c r="N449" s="20"/>
    </row>
    <row r="450" ht="12.75" customHeight="1">
      <c r="M450" s="20"/>
      <c r="N450" s="20"/>
    </row>
    <row r="451" ht="12.75" customHeight="1">
      <c r="M451" s="20"/>
      <c r="N451" s="20"/>
    </row>
    <row r="452" ht="12.75" customHeight="1">
      <c r="M452" s="20"/>
      <c r="N452" s="20"/>
    </row>
    <row r="453" ht="12.75" customHeight="1">
      <c r="M453" s="20"/>
      <c r="N453" s="20"/>
    </row>
    <row r="454" ht="12.75" customHeight="1">
      <c r="M454" s="20"/>
      <c r="N454" s="20"/>
    </row>
    <row r="455" ht="12.75" customHeight="1">
      <c r="M455" s="20"/>
      <c r="N455" s="20"/>
    </row>
    <row r="456" ht="12.75" customHeight="1">
      <c r="M456" s="20"/>
      <c r="N456" s="20"/>
    </row>
    <row r="457" ht="12.75" customHeight="1">
      <c r="M457" s="20"/>
      <c r="N457" s="20"/>
    </row>
    <row r="458" ht="12.75" customHeight="1">
      <c r="M458" s="20"/>
      <c r="N458" s="20"/>
    </row>
    <row r="459" ht="12.75" customHeight="1">
      <c r="M459" s="20"/>
      <c r="N459" s="20"/>
    </row>
    <row r="460" ht="12.75" customHeight="1">
      <c r="M460" s="20"/>
      <c r="N460" s="20"/>
    </row>
    <row r="461" ht="12.75" customHeight="1">
      <c r="M461" s="20"/>
      <c r="N461" s="20"/>
    </row>
    <row r="462" ht="12.75" customHeight="1">
      <c r="M462" s="20"/>
      <c r="N462" s="20"/>
    </row>
    <row r="463" ht="12.75" customHeight="1">
      <c r="M463" s="20"/>
      <c r="N463" s="20"/>
    </row>
    <row r="464" ht="12.75" customHeight="1">
      <c r="M464" s="20"/>
      <c r="N464" s="20"/>
    </row>
    <row r="465" ht="12.75" customHeight="1">
      <c r="M465" s="20"/>
      <c r="N465" s="20"/>
    </row>
    <row r="466" ht="12.75" customHeight="1">
      <c r="M466" s="20"/>
      <c r="N466" s="20"/>
    </row>
    <row r="467" ht="12.75" customHeight="1">
      <c r="M467" s="20"/>
      <c r="N467" s="20"/>
    </row>
    <row r="468" ht="12.75" customHeight="1">
      <c r="M468" s="20"/>
      <c r="N468" s="20"/>
    </row>
    <row r="469" ht="12.75" customHeight="1">
      <c r="M469" s="20"/>
      <c r="N469" s="20"/>
    </row>
    <row r="470" ht="12.75" customHeight="1">
      <c r="M470" s="20"/>
      <c r="N470" s="20"/>
    </row>
    <row r="471" ht="12.75" customHeight="1">
      <c r="M471" s="20"/>
      <c r="N471" s="20"/>
    </row>
    <row r="472" ht="12.75" customHeight="1">
      <c r="M472" s="20"/>
      <c r="N472" s="20"/>
    </row>
    <row r="473" ht="12.75" customHeight="1">
      <c r="M473" s="20"/>
      <c r="N473" s="20"/>
    </row>
    <row r="474" ht="12.75" customHeight="1">
      <c r="M474" s="20"/>
      <c r="N474" s="20"/>
    </row>
    <row r="475" ht="12.75" customHeight="1">
      <c r="M475" s="20"/>
      <c r="N475" s="20"/>
    </row>
    <row r="476" ht="12.75" customHeight="1">
      <c r="M476" s="20"/>
      <c r="N476" s="20"/>
    </row>
    <row r="477" ht="12.75" customHeight="1">
      <c r="M477" s="20"/>
      <c r="N477" s="20"/>
    </row>
    <row r="478" ht="12.75" customHeight="1">
      <c r="M478" s="20"/>
      <c r="N478" s="20"/>
    </row>
    <row r="479" ht="12.75" customHeight="1">
      <c r="M479" s="20"/>
      <c r="N479" s="20"/>
    </row>
    <row r="480" ht="12.75" customHeight="1">
      <c r="M480" s="20"/>
      <c r="N480" s="20"/>
    </row>
    <row r="481" ht="12.75" customHeight="1">
      <c r="M481" s="20"/>
      <c r="N481" s="20"/>
    </row>
    <row r="482" ht="12.75" customHeight="1">
      <c r="M482" s="20"/>
      <c r="N482" s="20"/>
    </row>
    <row r="483" ht="12.75" customHeight="1">
      <c r="M483" s="20"/>
      <c r="N483" s="20"/>
    </row>
    <row r="484" ht="12.75" customHeight="1">
      <c r="M484" s="20"/>
      <c r="N484" s="20"/>
    </row>
    <row r="485" ht="12.75" customHeight="1">
      <c r="M485" s="20"/>
      <c r="N485" s="20"/>
    </row>
    <row r="486" ht="12.75" customHeight="1">
      <c r="M486" s="20"/>
      <c r="N486" s="20"/>
    </row>
    <row r="487" ht="12.75" customHeight="1">
      <c r="M487" s="20"/>
      <c r="N487" s="20"/>
    </row>
    <row r="488" ht="12.75" customHeight="1">
      <c r="M488" s="20"/>
      <c r="N488" s="20"/>
    </row>
    <row r="489" ht="12.75" customHeight="1">
      <c r="M489" s="20"/>
      <c r="N489" s="20"/>
    </row>
    <row r="490" ht="12.75" customHeight="1">
      <c r="M490" s="20"/>
      <c r="N490" s="20"/>
    </row>
    <row r="491" ht="12.75" customHeight="1">
      <c r="M491" s="20"/>
      <c r="N491" s="20"/>
    </row>
    <row r="492" ht="12.75" customHeight="1">
      <c r="M492" s="20"/>
      <c r="N492" s="20"/>
    </row>
    <row r="493" ht="12.75" customHeight="1">
      <c r="M493" s="20"/>
      <c r="N493" s="20"/>
    </row>
    <row r="494" ht="12.75" customHeight="1">
      <c r="M494" s="20"/>
      <c r="N494" s="20"/>
    </row>
    <row r="495" ht="12.75" customHeight="1">
      <c r="M495" s="20"/>
      <c r="N495" s="20"/>
    </row>
    <row r="496" ht="12.75" customHeight="1">
      <c r="M496" s="20"/>
      <c r="N496" s="20"/>
    </row>
    <row r="497" ht="12.75" customHeight="1">
      <c r="M497" s="20"/>
      <c r="N497" s="20"/>
    </row>
    <row r="498" ht="12.75" customHeight="1">
      <c r="M498" s="20"/>
      <c r="N498" s="20"/>
    </row>
    <row r="499" ht="12.75" customHeight="1">
      <c r="M499" s="20"/>
      <c r="N499" s="20"/>
    </row>
    <row r="500" ht="12.75" customHeight="1">
      <c r="M500" s="20"/>
      <c r="N500" s="20"/>
    </row>
    <row r="501" ht="12.75" customHeight="1">
      <c r="M501" s="20"/>
      <c r="N501" s="20"/>
    </row>
    <row r="502" ht="12.75" customHeight="1">
      <c r="M502" s="20"/>
      <c r="N502" s="20"/>
    </row>
    <row r="503" ht="12.75" customHeight="1">
      <c r="M503" s="20"/>
      <c r="N503" s="20"/>
    </row>
    <row r="504" ht="12.75" customHeight="1">
      <c r="M504" s="20"/>
      <c r="N504" s="20"/>
    </row>
    <row r="505" ht="12.75" customHeight="1">
      <c r="M505" s="20"/>
      <c r="N505" s="20"/>
    </row>
    <row r="506" ht="12.75" customHeight="1">
      <c r="M506" s="20"/>
      <c r="N506" s="20"/>
    </row>
    <row r="507" ht="12.75" customHeight="1">
      <c r="M507" s="20"/>
      <c r="N507" s="20"/>
    </row>
    <row r="508" ht="12.75" customHeight="1">
      <c r="M508" s="20"/>
      <c r="N508" s="20"/>
    </row>
    <row r="509" ht="12.75" customHeight="1">
      <c r="M509" s="20"/>
      <c r="N509" s="20"/>
    </row>
    <row r="510" ht="12.75" customHeight="1">
      <c r="M510" s="20"/>
      <c r="N510" s="20"/>
    </row>
    <row r="511" ht="12.75" customHeight="1">
      <c r="M511" s="20"/>
      <c r="N511" s="20"/>
    </row>
    <row r="512" ht="12.75" customHeight="1">
      <c r="M512" s="20"/>
      <c r="N512" s="20"/>
    </row>
    <row r="513" ht="12.75" customHeight="1">
      <c r="M513" s="20"/>
      <c r="N513" s="20"/>
    </row>
    <row r="514" ht="12.75" customHeight="1">
      <c r="M514" s="20"/>
      <c r="N514" s="20"/>
    </row>
    <row r="515" ht="12.75" customHeight="1">
      <c r="M515" s="20"/>
      <c r="N515" s="20"/>
    </row>
    <row r="516" ht="12.75" customHeight="1">
      <c r="M516" s="20"/>
      <c r="N516" s="20"/>
    </row>
    <row r="517" ht="12.75" customHeight="1">
      <c r="M517" s="20"/>
      <c r="N517" s="20"/>
    </row>
    <row r="518" ht="12.75" customHeight="1">
      <c r="M518" s="20"/>
      <c r="N518" s="20"/>
    </row>
    <row r="519" ht="12.75" customHeight="1">
      <c r="M519" s="20"/>
      <c r="N519" s="20"/>
    </row>
    <row r="520" ht="12.75" customHeight="1">
      <c r="M520" s="20"/>
      <c r="N520" s="20"/>
    </row>
    <row r="521" ht="12.75" customHeight="1">
      <c r="M521" s="20"/>
      <c r="N521" s="20"/>
    </row>
    <row r="522" ht="12.75" customHeight="1">
      <c r="M522" s="20"/>
      <c r="N522" s="20"/>
    </row>
    <row r="523" ht="12.75" customHeight="1">
      <c r="M523" s="20"/>
      <c r="N523" s="20"/>
    </row>
    <row r="524" ht="12.75" customHeight="1">
      <c r="M524" s="20"/>
      <c r="N524" s="20"/>
    </row>
    <row r="525" ht="12.75" customHeight="1">
      <c r="M525" s="20"/>
      <c r="N525" s="20"/>
    </row>
    <row r="526" ht="12.75" customHeight="1">
      <c r="M526" s="20"/>
      <c r="N526" s="20"/>
    </row>
    <row r="527" ht="12.75" customHeight="1">
      <c r="M527" s="20"/>
      <c r="N527" s="20"/>
    </row>
    <row r="528" ht="12.75" customHeight="1">
      <c r="M528" s="20"/>
      <c r="N528" s="20"/>
    </row>
    <row r="529" ht="12.75" customHeight="1">
      <c r="M529" s="20"/>
      <c r="N529" s="20"/>
    </row>
    <row r="530" ht="12.75" customHeight="1">
      <c r="M530" s="20"/>
      <c r="N530" s="20"/>
    </row>
    <row r="531" ht="12.75" customHeight="1">
      <c r="M531" s="20"/>
      <c r="N531" s="20"/>
    </row>
    <row r="532" ht="12.75" customHeight="1">
      <c r="M532" s="20"/>
      <c r="N532" s="20"/>
    </row>
    <row r="533" ht="12.75" customHeight="1">
      <c r="M533" s="20"/>
      <c r="N533" s="20"/>
    </row>
    <row r="534" ht="12.75" customHeight="1">
      <c r="M534" s="20"/>
      <c r="N534" s="20"/>
    </row>
    <row r="535" ht="12.75" customHeight="1">
      <c r="M535" s="20"/>
      <c r="N535" s="20"/>
    </row>
    <row r="536" ht="12.75" customHeight="1">
      <c r="M536" s="20"/>
      <c r="N536" s="20"/>
    </row>
    <row r="537" ht="12.75" customHeight="1">
      <c r="M537" s="20"/>
      <c r="N537" s="20"/>
    </row>
    <row r="538" ht="12.75" customHeight="1">
      <c r="M538" s="20"/>
      <c r="N538" s="20"/>
    </row>
    <row r="539" ht="12.75" customHeight="1">
      <c r="M539" s="20"/>
      <c r="N539" s="20"/>
    </row>
    <row r="540" ht="12.75" customHeight="1">
      <c r="M540" s="20"/>
      <c r="N540" s="20"/>
    </row>
    <row r="541" ht="12.75" customHeight="1">
      <c r="M541" s="20"/>
      <c r="N541" s="20"/>
    </row>
    <row r="542" ht="12.75" customHeight="1">
      <c r="M542" s="20"/>
      <c r="N542" s="20"/>
    </row>
    <row r="543" ht="12.75" customHeight="1">
      <c r="M543" s="20"/>
      <c r="N543" s="20"/>
    </row>
    <row r="544" ht="12.75" customHeight="1">
      <c r="M544" s="20"/>
      <c r="N544" s="20"/>
    </row>
    <row r="545" ht="12.75" customHeight="1">
      <c r="M545" s="20"/>
      <c r="N545" s="20"/>
    </row>
    <row r="546" ht="12.75" customHeight="1">
      <c r="M546" s="20"/>
      <c r="N546" s="20"/>
    </row>
    <row r="547" ht="12.75" customHeight="1">
      <c r="M547" s="20"/>
      <c r="N547" s="20"/>
    </row>
    <row r="548" ht="12.75" customHeight="1">
      <c r="M548" s="20"/>
      <c r="N548" s="20"/>
    </row>
    <row r="549" ht="12.75" customHeight="1">
      <c r="M549" s="20"/>
      <c r="N549" s="20"/>
    </row>
    <row r="550" ht="12.75" customHeight="1">
      <c r="M550" s="20"/>
      <c r="N550" s="20"/>
    </row>
    <row r="551" ht="12.75" customHeight="1">
      <c r="M551" s="20"/>
      <c r="N551" s="20"/>
    </row>
    <row r="552" ht="12.75" customHeight="1">
      <c r="M552" s="20"/>
      <c r="N552" s="20"/>
    </row>
    <row r="553" ht="12.75" customHeight="1">
      <c r="M553" s="20"/>
      <c r="N553" s="20"/>
    </row>
    <row r="554" ht="12.75" customHeight="1">
      <c r="M554" s="20"/>
      <c r="N554" s="20"/>
    </row>
    <row r="555" ht="12.75" customHeight="1">
      <c r="M555" s="20"/>
      <c r="N555" s="20"/>
    </row>
    <row r="556" ht="12.75" customHeight="1">
      <c r="M556" s="20"/>
      <c r="N556" s="20"/>
    </row>
    <row r="557" ht="12.75" customHeight="1">
      <c r="M557" s="20"/>
      <c r="N557" s="20"/>
    </row>
    <row r="558" ht="12.75" customHeight="1">
      <c r="M558" s="20"/>
      <c r="N558" s="20"/>
    </row>
    <row r="559" ht="12.75" customHeight="1">
      <c r="M559" s="20"/>
      <c r="N559" s="20"/>
    </row>
    <row r="560" ht="12.75" customHeight="1">
      <c r="M560" s="20"/>
      <c r="N560" s="20"/>
    </row>
    <row r="561" ht="12.75" customHeight="1">
      <c r="M561" s="20"/>
      <c r="N561" s="20"/>
    </row>
    <row r="562" ht="12.75" customHeight="1">
      <c r="M562" s="20"/>
      <c r="N562" s="20"/>
    </row>
    <row r="563" ht="12.75" customHeight="1">
      <c r="M563" s="20"/>
      <c r="N563" s="20"/>
    </row>
    <row r="564" ht="12.75" customHeight="1">
      <c r="M564" s="20"/>
      <c r="N564" s="20"/>
    </row>
    <row r="565" ht="12.75" customHeight="1">
      <c r="M565" s="20"/>
      <c r="N565" s="20"/>
    </row>
    <row r="566" ht="12.75" customHeight="1">
      <c r="M566" s="20"/>
      <c r="N566" s="20"/>
    </row>
    <row r="567" ht="12.75" customHeight="1">
      <c r="M567" s="20"/>
      <c r="N567" s="20"/>
    </row>
    <row r="568" ht="12.75" customHeight="1">
      <c r="M568" s="20"/>
      <c r="N568" s="20"/>
    </row>
    <row r="569" ht="12.75" customHeight="1">
      <c r="M569" s="20"/>
      <c r="N569" s="20"/>
    </row>
    <row r="570" ht="12.75" customHeight="1">
      <c r="M570" s="20"/>
      <c r="N570" s="20"/>
    </row>
    <row r="571" ht="12.75" customHeight="1">
      <c r="M571" s="20"/>
      <c r="N571" s="20"/>
    </row>
    <row r="572" ht="12.75" customHeight="1">
      <c r="M572" s="20"/>
      <c r="N572" s="20"/>
    </row>
    <row r="573" ht="12.75" customHeight="1">
      <c r="M573" s="20"/>
      <c r="N573" s="20"/>
    </row>
    <row r="574" ht="12.75" customHeight="1">
      <c r="M574" s="20"/>
      <c r="N574" s="20"/>
    </row>
    <row r="575" ht="12.75" customHeight="1">
      <c r="M575" s="20"/>
      <c r="N575" s="20"/>
    </row>
    <row r="576" ht="12.75" customHeight="1">
      <c r="M576" s="20"/>
      <c r="N576" s="20"/>
    </row>
    <row r="577" ht="12.75" customHeight="1">
      <c r="M577" s="20"/>
      <c r="N577" s="20"/>
    </row>
    <row r="578" ht="12.75" customHeight="1">
      <c r="M578" s="20"/>
      <c r="N578" s="20"/>
    </row>
    <row r="579" ht="12.75" customHeight="1">
      <c r="M579" s="20"/>
      <c r="N579" s="20"/>
    </row>
    <row r="580" ht="12.75" customHeight="1">
      <c r="M580" s="20"/>
      <c r="N580" s="20"/>
    </row>
    <row r="581" ht="12.75" customHeight="1">
      <c r="M581" s="20"/>
      <c r="N581" s="20"/>
    </row>
    <row r="582" ht="12.75" customHeight="1">
      <c r="M582" s="20"/>
      <c r="N582" s="20"/>
    </row>
    <row r="583" ht="12.75" customHeight="1">
      <c r="M583" s="20"/>
      <c r="N583" s="20"/>
    </row>
    <row r="584" ht="12.75" customHeight="1">
      <c r="M584" s="20"/>
      <c r="N584" s="20"/>
    </row>
    <row r="585" ht="12.75" customHeight="1">
      <c r="M585" s="20"/>
      <c r="N585" s="20"/>
    </row>
    <row r="586" ht="12.75" customHeight="1">
      <c r="M586" s="20"/>
      <c r="N586" s="20"/>
    </row>
    <row r="587" ht="12.75" customHeight="1">
      <c r="M587" s="20"/>
      <c r="N587" s="20"/>
    </row>
    <row r="588" ht="12.75" customHeight="1">
      <c r="M588" s="20"/>
      <c r="N588" s="20"/>
    </row>
    <row r="589" ht="12.75" customHeight="1">
      <c r="M589" s="20"/>
      <c r="N589" s="20"/>
    </row>
    <row r="590" ht="12.75" customHeight="1">
      <c r="M590" s="20"/>
      <c r="N590" s="20"/>
    </row>
    <row r="591" ht="12.75" customHeight="1">
      <c r="M591" s="20"/>
      <c r="N591" s="20"/>
    </row>
    <row r="592" ht="12.75" customHeight="1">
      <c r="M592" s="20"/>
      <c r="N592" s="20"/>
    </row>
    <row r="593" ht="12.75" customHeight="1">
      <c r="M593" s="20"/>
      <c r="N593" s="20"/>
    </row>
    <row r="594" ht="12.75" customHeight="1">
      <c r="M594" s="20"/>
      <c r="N594" s="20"/>
    </row>
    <row r="595" ht="12.75" customHeight="1">
      <c r="M595" s="20"/>
      <c r="N595" s="20"/>
    </row>
    <row r="596" ht="12.75" customHeight="1">
      <c r="M596" s="20"/>
      <c r="N596" s="20"/>
    </row>
    <row r="597" ht="12.75" customHeight="1">
      <c r="M597" s="20"/>
      <c r="N597" s="20"/>
    </row>
    <row r="598" ht="12.75" customHeight="1">
      <c r="M598" s="20"/>
      <c r="N598" s="20"/>
    </row>
    <row r="599" ht="12.75" customHeight="1">
      <c r="M599" s="20"/>
      <c r="N599" s="20"/>
    </row>
    <row r="600" ht="12.75" customHeight="1">
      <c r="M600" s="20"/>
      <c r="N600" s="20"/>
    </row>
    <row r="601" ht="12.75" customHeight="1">
      <c r="M601" s="20"/>
      <c r="N601" s="20"/>
    </row>
    <row r="602" ht="12.75" customHeight="1">
      <c r="M602" s="20"/>
      <c r="N602" s="20"/>
    </row>
    <row r="603" ht="12.75" customHeight="1">
      <c r="M603" s="20"/>
      <c r="N603" s="20"/>
    </row>
    <row r="604" ht="12.75" customHeight="1">
      <c r="M604" s="20"/>
      <c r="N604" s="20"/>
    </row>
    <row r="605" ht="12.75" customHeight="1">
      <c r="M605" s="20"/>
      <c r="N605" s="20"/>
    </row>
    <row r="606" ht="12.75" customHeight="1">
      <c r="M606" s="20"/>
      <c r="N606" s="20"/>
    </row>
    <row r="607" ht="12.75" customHeight="1">
      <c r="M607" s="20"/>
      <c r="N607" s="20"/>
    </row>
    <row r="608" ht="12.75" customHeight="1">
      <c r="M608" s="20"/>
      <c r="N608" s="20"/>
    </row>
    <row r="609" ht="12.75" customHeight="1">
      <c r="M609" s="20"/>
      <c r="N609" s="20"/>
    </row>
    <row r="610" ht="12.75" customHeight="1">
      <c r="M610" s="20"/>
      <c r="N610" s="20"/>
    </row>
    <row r="611" ht="12.75" customHeight="1">
      <c r="M611" s="20"/>
      <c r="N611" s="20"/>
    </row>
    <row r="612" ht="12.75" customHeight="1">
      <c r="M612" s="20"/>
      <c r="N612" s="20"/>
    </row>
    <row r="613" ht="12.75" customHeight="1">
      <c r="M613" s="20"/>
      <c r="N613" s="20"/>
    </row>
    <row r="614" ht="12.75" customHeight="1">
      <c r="M614" s="20"/>
      <c r="N614" s="20"/>
    </row>
    <row r="615" ht="12.75" customHeight="1">
      <c r="M615" s="20"/>
      <c r="N615" s="20"/>
    </row>
    <row r="616" ht="12.75" customHeight="1">
      <c r="M616" s="20"/>
      <c r="N616" s="20"/>
    </row>
    <row r="617" ht="12.75" customHeight="1">
      <c r="M617" s="20"/>
      <c r="N617" s="20"/>
    </row>
    <row r="618" ht="12.75" customHeight="1">
      <c r="M618" s="20"/>
      <c r="N618" s="20"/>
    </row>
    <row r="619" ht="12.75" customHeight="1">
      <c r="M619" s="20"/>
      <c r="N619" s="20"/>
    </row>
    <row r="620" ht="12.75" customHeight="1">
      <c r="M620" s="20"/>
      <c r="N620" s="20"/>
    </row>
    <row r="621" ht="12.75" customHeight="1">
      <c r="M621" s="20"/>
      <c r="N621" s="20"/>
    </row>
    <row r="622" ht="12.75" customHeight="1">
      <c r="M622" s="20"/>
      <c r="N622" s="20"/>
    </row>
    <row r="623" ht="12.75" customHeight="1">
      <c r="M623" s="20"/>
      <c r="N623" s="20"/>
    </row>
    <row r="624" ht="12.75" customHeight="1">
      <c r="M624" s="20"/>
      <c r="N624" s="20"/>
    </row>
    <row r="625" ht="12.75" customHeight="1">
      <c r="M625" s="20"/>
      <c r="N625" s="20"/>
    </row>
    <row r="626" ht="12.75" customHeight="1">
      <c r="M626" s="20"/>
      <c r="N626" s="20"/>
    </row>
    <row r="627" ht="12.75" customHeight="1">
      <c r="M627" s="20"/>
      <c r="N627" s="20"/>
    </row>
    <row r="628" ht="12.75" customHeight="1">
      <c r="M628" s="20"/>
      <c r="N628" s="20"/>
    </row>
    <row r="629" ht="12.75" customHeight="1">
      <c r="M629" s="20"/>
      <c r="N629" s="20"/>
    </row>
    <row r="630" ht="12.75" customHeight="1">
      <c r="M630" s="20"/>
      <c r="N630" s="20"/>
    </row>
    <row r="631" ht="12.75" customHeight="1">
      <c r="M631" s="20"/>
      <c r="N631" s="20"/>
    </row>
    <row r="632" ht="12.75" customHeight="1">
      <c r="M632" s="20"/>
      <c r="N632" s="20"/>
    </row>
    <row r="633" ht="12.75" customHeight="1">
      <c r="M633" s="20"/>
      <c r="N633" s="20"/>
    </row>
    <row r="634" ht="12.75" customHeight="1">
      <c r="M634" s="20"/>
      <c r="N634" s="20"/>
    </row>
    <row r="635" ht="12.75" customHeight="1">
      <c r="M635" s="20"/>
      <c r="N635" s="20"/>
    </row>
    <row r="636" ht="12.75" customHeight="1">
      <c r="M636" s="20"/>
      <c r="N636" s="20"/>
    </row>
    <row r="637" ht="12.75" customHeight="1">
      <c r="M637" s="20"/>
      <c r="N637" s="20"/>
    </row>
    <row r="638" ht="12.75" customHeight="1">
      <c r="M638" s="20"/>
      <c r="N638" s="20"/>
    </row>
    <row r="639" ht="12.75" customHeight="1">
      <c r="M639" s="20"/>
      <c r="N639" s="20"/>
    </row>
    <row r="640" ht="12.75" customHeight="1">
      <c r="M640" s="20"/>
      <c r="N640" s="20"/>
    </row>
    <row r="641" ht="12.75" customHeight="1">
      <c r="M641" s="20"/>
      <c r="N641" s="20"/>
    </row>
    <row r="642" ht="12.75" customHeight="1">
      <c r="M642" s="20"/>
      <c r="N642" s="20"/>
    </row>
    <row r="643" ht="12.75" customHeight="1">
      <c r="M643" s="20"/>
      <c r="N643" s="20"/>
    </row>
    <row r="644" ht="12.75" customHeight="1">
      <c r="M644" s="20"/>
      <c r="N644" s="20"/>
    </row>
    <row r="645" ht="12.75" customHeight="1">
      <c r="M645" s="20"/>
      <c r="N645" s="20"/>
    </row>
    <row r="646" ht="12.75" customHeight="1">
      <c r="M646" s="20"/>
      <c r="N646" s="20"/>
    </row>
    <row r="647" ht="12.75" customHeight="1">
      <c r="M647" s="20"/>
      <c r="N647" s="20"/>
    </row>
    <row r="648" ht="12.75" customHeight="1">
      <c r="M648" s="20"/>
      <c r="N648" s="20"/>
    </row>
    <row r="649" ht="12.75" customHeight="1">
      <c r="M649" s="20"/>
      <c r="N649" s="20"/>
    </row>
    <row r="650" ht="12.75" customHeight="1">
      <c r="M650" s="20"/>
      <c r="N650" s="20"/>
    </row>
    <row r="651" ht="12.75" customHeight="1">
      <c r="M651" s="20"/>
      <c r="N651" s="20"/>
    </row>
    <row r="652" ht="12.75" customHeight="1">
      <c r="M652" s="20"/>
      <c r="N652" s="20"/>
    </row>
    <row r="653" ht="12.75" customHeight="1">
      <c r="M653" s="20"/>
      <c r="N653" s="20"/>
    </row>
    <row r="654" ht="12.75" customHeight="1">
      <c r="M654" s="20"/>
      <c r="N654" s="20"/>
    </row>
    <row r="655" ht="12.75" customHeight="1">
      <c r="M655" s="20"/>
      <c r="N655" s="20"/>
    </row>
    <row r="656" ht="12.75" customHeight="1">
      <c r="M656" s="20"/>
      <c r="N656" s="20"/>
    </row>
    <row r="657" ht="12.75" customHeight="1">
      <c r="M657" s="20"/>
      <c r="N657" s="20"/>
    </row>
    <row r="658" ht="12.75" customHeight="1">
      <c r="M658" s="20"/>
      <c r="N658" s="20"/>
    </row>
    <row r="659" ht="12.75" customHeight="1">
      <c r="M659" s="20"/>
      <c r="N659" s="20"/>
    </row>
    <row r="660" ht="12.75" customHeight="1">
      <c r="M660" s="20"/>
      <c r="N660" s="20"/>
    </row>
    <row r="661" ht="12.75" customHeight="1">
      <c r="M661" s="20"/>
      <c r="N661" s="20"/>
    </row>
    <row r="662" ht="12.75" customHeight="1">
      <c r="M662" s="20"/>
      <c r="N662" s="20"/>
    </row>
    <row r="663" ht="12.75" customHeight="1">
      <c r="M663" s="20"/>
      <c r="N663" s="20"/>
    </row>
    <row r="664" ht="12.75" customHeight="1">
      <c r="M664" s="20"/>
      <c r="N664" s="20"/>
    </row>
    <row r="665" ht="12.75" customHeight="1">
      <c r="M665" s="20"/>
      <c r="N665" s="20"/>
    </row>
    <row r="666" ht="12.75" customHeight="1">
      <c r="M666" s="20"/>
      <c r="N666" s="20"/>
    </row>
    <row r="667" ht="12.75" customHeight="1">
      <c r="M667" s="20"/>
      <c r="N667" s="20"/>
    </row>
    <row r="668" ht="12.75" customHeight="1">
      <c r="M668" s="20"/>
      <c r="N668" s="20"/>
    </row>
    <row r="669" ht="12.75" customHeight="1">
      <c r="M669" s="20"/>
      <c r="N669" s="20"/>
    </row>
    <row r="670" ht="12.75" customHeight="1">
      <c r="M670" s="20"/>
      <c r="N670" s="20"/>
    </row>
    <row r="671" ht="12.75" customHeight="1">
      <c r="M671" s="20"/>
      <c r="N671" s="20"/>
    </row>
    <row r="672" ht="12.75" customHeight="1">
      <c r="M672" s="20"/>
      <c r="N672" s="20"/>
    </row>
    <row r="673" ht="12.75" customHeight="1">
      <c r="M673" s="20"/>
      <c r="N673" s="20"/>
    </row>
    <row r="674" ht="12.75" customHeight="1">
      <c r="M674" s="20"/>
      <c r="N674" s="20"/>
    </row>
    <row r="675" ht="12.75" customHeight="1">
      <c r="M675" s="20"/>
      <c r="N675" s="20"/>
    </row>
    <row r="676" ht="12.75" customHeight="1">
      <c r="M676" s="20"/>
      <c r="N676" s="20"/>
    </row>
    <row r="677" ht="12.75" customHeight="1">
      <c r="M677" s="20"/>
      <c r="N677" s="20"/>
    </row>
    <row r="678" ht="12.75" customHeight="1">
      <c r="M678" s="20"/>
      <c r="N678" s="20"/>
    </row>
    <row r="679" ht="12.75" customHeight="1">
      <c r="M679" s="20"/>
      <c r="N679" s="20"/>
    </row>
    <row r="680" ht="12.75" customHeight="1">
      <c r="M680" s="20"/>
      <c r="N680" s="20"/>
    </row>
    <row r="681" ht="12.75" customHeight="1">
      <c r="M681" s="20"/>
      <c r="N681" s="20"/>
    </row>
    <row r="682" ht="12.75" customHeight="1">
      <c r="M682" s="20"/>
      <c r="N682" s="20"/>
    </row>
    <row r="683" ht="12.75" customHeight="1">
      <c r="M683" s="20"/>
      <c r="N683" s="20"/>
    </row>
    <row r="684" ht="12.75" customHeight="1">
      <c r="M684" s="20"/>
      <c r="N684" s="20"/>
    </row>
    <row r="685" ht="12.75" customHeight="1">
      <c r="M685" s="20"/>
      <c r="N685" s="20"/>
    </row>
    <row r="686" ht="12.75" customHeight="1">
      <c r="M686" s="20"/>
      <c r="N686" s="20"/>
    </row>
    <row r="687" ht="12.75" customHeight="1">
      <c r="M687" s="20"/>
      <c r="N687" s="20"/>
    </row>
    <row r="688" ht="12.75" customHeight="1">
      <c r="M688" s="20"/>
      <c r="N688" s="20"/>
    </row>
    <row r="689" ht="12.75" customHeight="1">
      <c r="M689" s="20"/>
      <c r="N689" s="20"/>
    </row>
    <row r="690" ht="12.75" customHeight="1">
      <c r="M690" s="20"/>
      <c r="N690" s="20"/>
    </row>
    <row r="691" ht="12.75" customHeight="1">
      <c r="M691" s="20"/>
      <c r="N691" s="20"/>
    </row>
    <row r="692" ht="12.75" customHeight="1">
      <c r="M692" s="20"/>
      <c r="N692" s="20"/>
    </row>
    <row r="693" ht="12.75" customHeight="1">
      <c r="M693" s="20"/>
      <c r="N693" s="20"/>
    </row>
    <row r="694" ht="12.75" customHeight="1">
      <c r="M694" s="20"/>
      <c r="N694" s="20"/>
    </row>
    <row r="695" ht="12.75" customHeight="1">
      <c r="M695" s="20"/>
      <c r="N695" s="20"/>
    </row>
    <row r="696" ht="12.75" customHeight="1">
      <c r="M696" s="20"/>
      <c r="N696" s="20"/>
    </row>
    <row r="697" ht="12.75" customHeight="1">
      <c r="M697" s="20"/>
      <c r="N697" s="20"/>
    </row>
    <row r="698" ht="12.75" customHeight="1">
      <c r="M698" s="20"/>
      <c r="N698" s="20"/>
    </row>
    <row r="699" ht="12.75" customHeight="1">
      <c r="M699" s="20"/>
      <c r="N699" s="20"/>
    </row>
    <row r="700" ht="12.75" customHeight="1">
      <c r="M700" s="20"/>
      <c r="N700" s="20"/>
    </row>
    <row r="701" ht="12.75" customHeight="1">
      <c r="M701" s="20"/>
      <c r="N701" s="20"/>
    </row>
    <row r="702" ht="12.75" customHeight="1">
      <c r="M702" s="20"/>
      <c r="N702" s="20"/>
    </row>
    <row r="703" ht="12.75" customHeight="1">
      <c r="M703" s="20"/>
      <c r="N703" s="20"/>
    </row>
    <row r="704" ht="12.75" customHeight="1">
      <c r="M704" s="20"/>
      <c r="N704" s="20"/>
    </row>
    <row r="705" ht="12.75" customHeight="1">
      <c r="M705" s="20"/>
      <c r="N705" s="20"/>
    </row>
    <row r="706" ht="12.75" customHeight="1">
      <c r="M706" s="20"/>
      <c r="N706" s="20"/>
    </row>
    <row r="707" ht="12.75" customHeight="1">
      <c r="M707" s="20"/>
      <c r="N707" s="20"/>
    </row>
    <row r="708" ht="12.75" customHeight="1">
      <c r="M708" s="20"/>
      <c r="N708" s="20"/>
    </row>
    <row r="709" ht="12.75" customHeight="1">
      <c r="M709" s="20"/>
      <c r="N709" s="20"/>
    </row>
    <row r="710" ht="12.75" customHeight="1">
      <c r="M710" s="20"/>
      <c r="N710" s="20"/>
    </row>
    <row r="711" ht="12.75" customHeight="1">
      <c r="M711" s="20"/>
      <c r="N711" s="20"/>
    </row>
    <row r="712" ht="12.75" customHeight="1">
      <c r="M712" s="20"/>
      <c r="N712" s="20"/>
    </row>
    <row r="713" ht="12.75" customHeight="1">
      <c r="M713" s="20"/>
      <c r="N713" s="20"/>
    </row>
    <row r="714" ht="12.75" customHeight="1">
      <c r="M714" s="20"/>
      <c r="N714" s="20"/>
    </row>
    <row r="715" ht="12.75" customHeight="1">
      <c r="M715" s="20"/>
      <c r="N715" s="20"/>
    </row>
    <row r="716" ht="12.75" customHeight="1">
      <c r="M716" s="20"/>
      <c r="N716" s="20"/>
    </row>
    <row r="717" ht="12.75" customHeight="1">
      <c r="M717" s="20"/>
      <c r="N717" s="20"/>
    </row>
    <row r="718" ht="12.75" customHeight="1">
      <c r="M718" s="20"/>
      <c r="N718" s="20"/>
    </row>
    <row r="719" ht="12.75" customHeight="1">
      <c r="M719" s="20"/>
      <c r="N719" s="20"/>
    </row>
    <row r="720" ht="12.75" customHeight="1">
      <c r="M720" s="20"/>
      <c r="N720" s="20"/>
    </row>
    <row r="721" ht="12.75" customHeight="1">
      <c r="M721" s="20"/>
      <c r="N721" s="20"/>
    </row>
    <row r="722" ht="12.75" customHeight="1">
      <c r="M722" s="20"/>
      <c r="N722" s="20"/>
    </row>
    <row r="723" ht="12.75" customHeight="1">
      <c r="M723" s="20"/>
      <c r="N723" s="20"/>
    </row>
    <row r="724" ht="12.75" customHeight="1">
      <c r="M724" s="20"/>
      <c r="N724" s="20"/>
    </row>
    <row r="725" ht="12.75" customHeight="1">
      <c r="M725" s="20"/>
      <c r="N725" s="20"/>
    </row>
    <row r="726" ht="12.75" customHeight="1">
      <c r="M726" s="20"/>
      <c r="N726" s="20"/>
    </row>
    <row r="727" ht="12.75" customHeight="1">
      <c r="M727" s="20"/>
      <c r="N727" s="20"/>
    </row>
    <row r="728" ht="12.75" customHeight="1">
      <c r="M728" s="20"/>
      <c r="N728" s="20"/>
    </row>
    <row r="729" ht="12.75" customHeight="1">
      <c r="M729" s="20"/>
      <c r="N729" s="20"/>
    </row>
    <row r="730" ht="12.75" customHeight="1">
      <c r="M730" s="20"/>
      <c r="N730" s="20"/>
    </row>
    <row r="731" ht="12.75" customHeight="1">
      <c r="M731" s="20"/>
      <c r="N731" s="20"/>
    </row>
    <row r="732" ht="12.75" customHeight="1">
      <c r="M732" s="20"/>
      <c r="N732" s="20"/>
    </row>
    <row r="733" ht="12.75" customHeight="1">
      <c r="M733" s="20"/>
      <c r="N733" s="20"/>
    </row>
    <row r="734" ht="12.75" customHeight="1">
      <c r="M734" s="20"/>
      <c r="N734" s="20"/>
    </row>
    <row r="735" ht="12.75" customHeight="1">
      <c r="M735" s="20"/>
      <c r="N735" s="20"/>
    </row>
    <row r="736" ht="12.75" customHeight="1">
      <c r="M736" s="20"/>
      <c r="N736" s="20"/>
    </row>
    <row r="737" ht="12.75" customHeight="1">
      <c r="M737" s="20"/>
      <c r="N737" s="20"/>
    </row>
    <row r="738" ht="12.75" customHeight="1">
      <c r="M738" s="20"/>
      <c r="N738" s="20"/>
    </row>
    <row r="739" ht="12.75" customHeight="1">
      <c r="M739" s="20"/>
      <c r="N739" s="20"/>
    </row>
    <row r="740" ht="12.75" customHeight="1">
      <c r="M740" s="20"/>
      <c r="N740" s="20"/>
    </row>
    <row r="741" ht="12.75" customHeight="1">
      <c r="M741" s="20"/>
      <c r="N741" s="20"/>
    </row>
    <row r="742" ht="12.75" customHeight="1">
      <c r="M742" s="20"/>
      <c r="N742" s="20"/>
    </row>
    <row r="743" ht="12.75" customHeight="1">
      <c r="M743" s="20"/>
      <c r="N743" s="20"/>
    </row>
    <row r="744" ht="12.75" customHeight="1">
      <c r="M744" s="20"/>
      <c r="N744" s="20"/>
    </row>
    <row r="745" ht="12.75" customHeight="1">
      <c r="M745" s="20"/>
      <c r="N745" s="20"/>
    </row>
    <row r="746" ht="12.75" customHeight="1">
      <c r="M746" s="20"/>
      <c r="N746" s="20"/>
    </row>
    <row r="747" ht="12.75" customHeight="1">
      <c r="M747" s="20"/>
      <c r="N747" s="20"/>
    </row>
    <row r="748" ht="12.75" customHeight="1">
      <c r="M748" s="20"/>
      <c r="N748" s="20"/>
    </row>
    <row r="749" ht="12.75" customHeight="1">
      <c r="M749" s="20"/>
      <c r="N749" s="20"/>
    </row>
    <row r="750" ht="12.75" customHeight="1">
      <c r="M750" s="20"/>
      <c r="N750" s="20"/>
    </row>
    <row r="751" ht="12.75" customHeight="1">
      <c r="M751" s="20"/>
      <c r="N751" s="20"/>
    </row>
    <row r="752" ht="12.75" customHeight="1">
      <c r="M752" s="20"/>
      <c r="N752" s="20"/>
    </row>
    <row r="753" ht="12.75" customHeight="1">
      <c r="M753" s="20"/>
      <c r="N753" s="20"/>
    </row>
    <row r="754" ht="12.75" customHeight="1">
      <c r="M754" s="20"/>
      <c r="N754" s="20"/>
    </row>
    <row r="755" ht="12.75" customHeight="1">
      <c r="M755" s="20"/>
      <c r="N755" s="20"/>
    </row>
    <row r="756" ht="12.75" customHeight="1">
      <c r="M756" s="20"/>
      <c r="N756" s="20"/>
    </row>
    <row r="757" ht="12.75" customHeight="1">
      <c r="M757" s="20"/>
      <c r="N757" s="20"/>
    </row>
    <row r="758" ht="12.75" customHeight="1">
      <c r="M758" s="20"/>
      <c r="N758" s="20"/>
    </row>
    <row r="759" ht="12.75" customHeight="1">
      <c r="M759" s="20"/>
      <c r="N759" s="20"/>
    </row>
    <row r="760" ht="12.75" customHeight="1">
      <c r="M760" s="20"/>
      <c r="N760" s="20"/>
    </row>
    <row r="761" ht="12.75" customHeight="1">
      <c r="M761" s="20"/>
      <c r="N761" s="20"/>
    </row>
    <row r="762" ht="12.75" customHeight="1">
      <c r="M762" s="20"/>
      <c r="N762" s="20"/>
    </row>
    <row r="763" ht="12.75" customHeight="1">
      <c r="M763" s="20"/>
      <c r="N763" s="20"/>
    </row>
    <row r="764" ht="12.75" customHeight="1">
      <c r="M764" s="20"/>
      <c r="N764" s="20"/>
    </row>
    <row r="765" ht="12.75" customHeight="1">
      <c r="M765" s="20"/>
      <c r="N765" s="20"/>
    </row>
    <row r="766" ht="12.75" customHeight="1">
      <c r="M766" s="20"/>
      <c r="N766" s="20"/>
    </row>
    <row r="767" ht="12.75" customHeight="1">
      <c r="M767" s="20"/>
      <c r="N767" s="20"/>
    </row>
    <row r="768" ht="12.75" customHeight="1">
      <c r="M768" s="20"/>
      <c r="N768" s="20"/>
    </row>
    <row r="769" ht="12.75" customHeight="1">
      <c r="M769" s="20"/>
      <c r="N769" s="20"/>
    </row>
    <row r="770" ht="12.75" customHeight="1">
      <c r="M770" s="20"/>
      <c r="N770" s="20"/>
    </row>
    <row r="771" ht="12.75" customHeight="1">
      <c r="M771" s="20"/>
      <c r="N771" s="20"/>
    </row>
    <row r="772" ht="12.75" customHeight="1">
      <c r="M772" s="20"/>
      <c r="N772" s="20"/>
    </row>
    <row r="773" ht="12.75" customHeight="1">
      <c r="M773" s="20"/>
      <c r="N773" s="20"/>
    </row>
    <row r="774" ht="12.75" customHeight="1">
      <c r="M774" s="20"/>
      <c r="N774" s="20"/>
    </row>
    <row r="775" ht="12.75" customHeight="1">
      <c r="M775" s="20"/>
      <c r="N775" s="20"/>
    </row>
    <row r="776" ht="12.75" customHeight="1">
      <c r="M776" s="20"/>
      <c r="N776" s="20"/>
    </row>
    <row r="777" ht="12.75" customHeight="1">
      <c r="M777" s="20"/>
      <c r="N777" s="20"/>
    </row>
    <row r="778" ht="12.75" customHeight="1">
      <c r="M778" s="20"/>
      <c r="N778" s="20"/>
    </row>
    <row r="779" ht="12.75" customHeight="1">
      <c r="M779" s="20"/>
      <c r="N779" s="20"/>
    </row>
    <row r="780" ht="12.75" customHeight="1">
      <c r="M780" s="20"/>
      <c r="N780" s="20"/>
    </row>
    <row r="781" ht="12.75" customHeight="1">
      <c r="M781" s="20"/>
      <c r="N781" s="20"/>
    </row>
    <row r="782" ht="12.75" customHeight="1">
      <c r="M782" s="20"/>
      <c r="N782" s="20"/>
    </row>
    <row r="783" ht="12.75" customHeight="1">
      <c r="M783" s="20"/>
      <c r="N783" s="20"/>
    </row>
    <row r="784" ht="12.75" customHeight="1">
      <c r="M784" s="20"/>
      <c r="N784" s="20"/>
    </row>
    <row r="785" ht="12.75" customHeight="1">
      <c r="M785" s="20"/>
      <c r="N785" s="20"/>
    </row>
    <row r="786" ht="12.75" customHeight="1">
      <c r="M786" s="20"/>
      <c r="N786" s="20"/>
    </row>
    <row r="787" ht="12.75" customHeight="1">
      <c r="M787" s="20"/>
      <c r="N787" s="20"/>
    </row>
    <row r="788" ht="12.75" customHeight="1">
      <c r="M788" s="20"/>
      <c r="N788" s="20"/>
    </row>
    <row r="789" ht="12.75" customHeight="1">
      <c r="M789" s="20"/>
      <c r="N789" s="20"/>
    </row>
    <row r="790" ht="12.75" customHeight="1">
      <c r="M790" s="20"/>
      <c r="N790" s="20"/>
    </row>
    <row r="791" ht="12.75" customHeight="1">
      <c r="M791" s="20"/>
      <c r="N791" s="20"/>
    </row>
    <row r="792" ht="12.75" customHeight="1">
      <c r="M792" s="20"/>
      <c r="N792" s="20"/>
    </row>
    <row r="793" ht="12.75" customHeight="1">
      <c r="M793" s="20"/>
      <c r="N793" s="20"/>
    </row>
    <row r="794" ht="12.75" customHeight="1">
      <c r="M794" s="20"/>
      <c r="N794" s="20"/>
    </row>
    <row r="795" ht="12.75" customHeight="1">
      <c r="M795" s="20"/>
      <c r="N795" s="20"/>
    </row>
    <row r="796" ht="12.75" customHeight="1">
      <c r="M796" s="20"/>
      <c r="N796" s="20"/>
    </row>
    <row r="797" ht="12.75" customHeight="1">
      <c r="M797" s="20"/>
      <c r="N797" s="20"/>
    </row>
    <row r="798" ht="12.75" customHeight="1">
      <c r="M798" s="20"/>
      <c r="N798" s="20"/>
    </row>
    <row r="799" ht="12.75" customHeight="1">
      <c r="M799" s="20"/>
      <c r="N799" s="20"/>
    </row>
    <row r="800" ht="12.75" customHeight="1">
      <c r="M800" s="20"/>
      <c r="N800" s="20"/>
    </row>
    <row r="801" ht="12.75" customHeight="1">
      <c r="M801" s="20"/>
      <c r="N801" s="20"/>
    </row>
    <row r="802" ht="12.75" customHeight="1">
      <c r="M802" s="20"/>
      <c r="N802" s="20"/>
    </row>
    <row r="803" ht="12.75" customHeight="1">
      <c r="M803" s="20"/>
      <c r="N803" s="20"/>
    </row>
    <row r="804" ht="12.75" customHeight="1">
      <c r="M804" s="20"/>
      <c r="N804" s="20"/>
    </row>
    <row r="805" ht="12.75" customHeight="1">
      <c r="M805" s="20"/>
      <c r="N805" s="20"/>
    </row>
    <row r="806" ht="12.75" customHeight="1">
      <c r="M806" s="20"/>
      <c r="N806" s="20"/>
    </row>
    <row r="807" ht="12.75" customHeight="1">
      <c r="M807" s="20"/>
      <c r="N807" s="20"/>
    </row>
    <row r="808" ht="12.75" customHeight="1">
      <c r="M808" s="20"/>
      <c r="N808" s="20"/>
    </row>
    <row r="809" ht="12.75" customHeight="1">
      <c r="M809" s="20"/>
      <c r="N809" s="20"/>
    </row>
    <row r="810" ht="12.75" customHeight="1">
      <c r="M810" s="20"/>
      <c r="N810" s="20"/>
    </row>
    <row r="811" ht="12.75" customHeight="1">
      <c r="M811" s="20"/>
      <c r="N811" s="20"/>
    </row>
    <row r="812" ht="12.75" customHeight="1">
      <c r="M812" s="20"/>
      <c r="N812" s="20"/>
    </row>
    <row r="813" ht="12.75" customHeight="1">
      <c r="M813" s="20"/>
      <c r="N813" s="20"/>
    </row>
    <row r="814" ht="12.75" customHeight="1">
      <c r="M814" s="20"/>
      <c r="N814" s="20"/>
    </row>
    <row r="815" ht="12.75" customHeight="1">
      <c r="M815" s="20"/>
      <c r="N815" s="20"/>
    </row>
    <row r="816" ht="12.75" customHeight="1">
      <c r="M816" s="20"/>
      <c r="N816" s="20"/>
    </row>
    <row r="817" ht="12.75" customHeight="1">
      <c r="M817" s="20"/>
      <c r="N817" s="20"/>
    </row>
    <row r="818" ht="12.75" customHeight="1">
      <c r="M818" s="20"/>
      <c r="N818" s="20"/>
    </row>
    <row r="819" ht="12.75" customHeight="1">
      <c r="M819" s="20"/>
      <c r="N819" s="20"/>
    </row>
    <row r="820" ht="12.75" customHeight="1">
      <c r="M820" s="20"/>
      <c r="N820" s="20"/>
    </row>
    <row r="821" ht="12.75" customHeight="1">
      <c r="M821" s="20"/>
      <c r="N821" s="20"/>
    </row>
    <row r="822" ht="12.75" customHeight="1">
      <c r="M822" s="20"/>
      <c r="N822" s="20"/>
    </row>
    <row r="823" ht="12.75" customHeight="1">
      <c r="M823" s="20"/>
      <c r="N823" s="20"/>
    </row>
    <row r="824" ht="12.75" customHeight="1">
      <c r="M824" s="20"/>
      <c r="N824" s="20"/>
    </row>
    <row r="825" ht="12.75" customHeight="1">
      <c r="M825" s="20"/>
      <c r="N825" s="20"/>
    </row>
    <row r="826" ht="12.75" customHeight="1">
      <c r="M826" s="20"/>
      <c r="N826" s="20"/>
    </row>
    <row r="827" ht="12.75" customHeight="1">
      <c r="M827" s="20"/>
      <c r="N827" s="20"/>
    </row>
    <row r="828" ht="12.75" customHeight="1">
      <c r="M828" s="20"/>
      <c r="N828" s="20"/>
    </row>
    <row r="829" ht="12.75" customHeight="1">
      <c r="M829" s="20"/>
      <c r="N829" s="20"/>
    </row>
    <row r="830" ht="12.75" customHeight="1">
      <c r="M830" s="20"/>
      <c r="N830" s="20"/>
    </row>
    <row r="831" ht="12.75" customHeight="1">
      <c r="M831" s="20"/>
      <c r="N831" s="20"/>
    </row>
    <row r="832" ht="12.75" customHeight="1">
      <c r="M832" s="20"/>
      <c r="N832" s="20"/>
    </row>
    <row r="833" ht="12.75" customHeight="1">
      <c r="M833" s="20"/>
      <c r="N833" s="20"/>
    </row>
    <row r="834" ht="12.75" customHeight="1">
      <c r="M834" s="20"/>
      <c r="N834" s="20"/>
    </row>
    <row r="835" ht="12.75" customHeight="1">
      <c r="M835" s="20"/>
      <c r="N835" s="20"/>
    </row>
    <row r="836" ht="12.75" customHeight="1">
      <c r="M836" s="20"/>
      <c r="N836" s="20"/>
    </row>
    <row r="837" ht="12.75" customHeight="1">
      <c r="M837" s="20"/>
      <c r="N837" s="20"/>
    </row>
    <row r="838" ht="12.75" customHeight="1">
      <c r="M838" s="20"/>
      <c r="N838" s="20"/>
    </row>
    <row r="839" ht="12.75" customHeight="1">
      <c r="M839" s="20"/>
      <c r="N839" s="20"/>
    </row>
    <row r="840" ht="12.75" customHeight="1">
      <c r="M840" s="20"/>
      <c r="N840" s="20"/>
    </row>
    <row r="841" ht="12.75" customHeight="1">
      <c r="M841" s="20"/>
      <c r="N841" s="20"/>
    </row>
    <row r="842" ht="12.75" customHeight="1">
      <c r="M842" s="20"/>
      <c r="N842" s="20"/>
    </row>
    <row r="843" ht="12.75" customHeight="1">
      <c r="M843" s="20"/>
      <c r="N843" s="20"/>
    </row>
    <row r="844" ht="12.75" customHeight="1">
      <c r="M844" s="20"/>
      <c r="N844" s="20"/>
    </row>
    <row r="845" ht="12.75" customHeight="1">
      <c r="M845" s="20"/>
      <c r="N845" s="20"/>
    </row>
    <row r="846" ht="12.75" customHeight="1">
      <c r="M846" s="20"/>
      <c r="N846" s="20"/>
    </row>
    <row r="847" ht="12.75" customHeight="1">
      <c r="M847" s="20"/>
      <c r="N847" s="20"/>
    </row>
    <row r="848" ht="12.75" customHeight="1">
      <c r="M848" s="20"/>
      <c r="N848" s="20"/>
    </row>
    <row r="849" ht="12.75" customHeight="1">
      <c r="M849" s="20"/>
      <c r="N849" s="20"/>
    </row>
    <row r="850" ht="12.75" customHeight="1">
      <c r="M850" s="20"/>
      <c r="N850" s="20"/>
    </row>
    <row r="851" ht="12.75" customHeight="1">
      <c r="M851" s="20"/>
      <c r="N851" s="20"/>
    </row>
    <row r="852" ht="12.75" customHeight="1">
      <c r="M852" s="20"/>
      <c r="N852" s="20"/>
    </row>
    <row r="853" ht="12.75" customHeight="1">
      <c r="M853" s="20"/>
      <c r="N853" s="20"/>
    </row>
    <row r="854" ht="12.75" customHeight="1">
      <c r="M854" s="20"/>
      <c r="N854" s="20"/>
    </row>
    <row r="855" ht="12.75" customHeight="1">
      <c r="M855" s="20"/>
      <c r="N855" s="20"/>
    </row>
    <row r="856" ht="12.75" customHeight="1">
      <c r="M856" s="20"/>
      <c r="N856" s="20"/>
    </row>
    <row r="857" ht="12.75" customHeight="1">
      <c r="M857" s="20"/>
      <c r="N857" s="20"/>
    </row>
    <row r="858" ht="12.75" customHeight="1">
      <c r="M858" s="20"/>
      <c r="N858" s="20"/>
    </row>
    <row r="859" ht="12.75" customHeight="1">
      <c r="M859" s="20"/>
      <c r="N859" s="20"/>
    </row>
    <row r="860" ht="12.75" customHeight="1">
      <c r="M860" s="20"/>
      <c r="N860" s="20"/>
    </row>
    <row r="861" ht="12.75" customHeight="1">
      <c r="M861" s="20"/>
      <c r="N861" s="20"/>
    </row>
    <row r="862" ht="12.75" customHeight="1">
      <c r="M862" s="20"/>
      <c r="N862" s="20"/>
    </row>
    <row r="863" ht="12.75" customHeight="1">
      <c r="M863" s="20"/>
      <c r="N863" s="20"/>
    </row>
    <row r="864" ht="12.75" customHeight="1">
      <c r="M864" s="20"/>
      <c r="N864" s="20"/>
    </row>
    <row r="865" ht="12.75" customHeight="1">
      <c r="M865" s="20"/>
      <c r="N865" s="20"/>
    </row>
    <row r="866" ht="12.75" customHeight="1">
      <c r="M866" s="20"/>
      <c r="N866" s="20"/>
    </row>
    <row r="867" ht="12.75" customHeight="1">
      <c r="M867" s="20"/>
      <c r="N867" s="20"/>
    </row>
    <row r="868" ht="12.75" customHeight="1">
      <c r="M868" s="20"/>
      <c r="N868" s="20"/>
    </row>
    <row r="869" ht="12.75" customHeight="1">
      <c r="M869" s="20"/>
      <c r="N869" s="20"/>
    </row>
    <row r="870" ht="12.75" customHeight="1">
      <c r="M870" s="20"/>
      <c r="N870" s="20"/>
    </row>
    <row r="871" ht="12.75" customHeight="1">
      <c r="M871" s="20"/>
      <c r="N871" s="20"/>
    </row>
    <row r="872" ht="12.75" customHeight="1">
      <c r="M872" s="20"/>
      <c r="N872" s="20"/>
    </row>
    <row r="873" ht="12.75" customHeight="1">
      <c r="M873" s="20"/>
      <c r="N873" s="20"/>
    </row>
    <row r="874" ht="12.75" customHeight="1">
      <c r="M874" s="20"/>
      <c r="N874" s="20"/>
    </row>
    <row r="875" ht="12.75" customHeight="1">
      <c r="M875" s="20"/>
      <c r="N875" s="20"/>
    </row>
    <row r="876" ht="12.75" customHeight="1">
      <c r="M876" s="20"/>
      <c r="N876" s="20"/>
    </row>
    <row r="877" ht="12.75" customHeight="1">
      <c r="M877" s="20"/>
      <c r="N877" s="20"/>
    </row>
    <row r="878" ht="12.75" customHeight="1">
      <c r="M878" s="20"/>
      <c r="N878" s="20"/>
    </row>
    <row r="879" ht="12.75" customHeight="1">
      <c r="M879" s="20"/>
      <c r="N879" s="20"/>
    </row>
    <row r="880" ht="12.75" customHeight="1">
      <c r="M880" s="20"/>
      <c r="N880" s="20"/>
    </row>
    <row r="881" ht="12.75" customHeight="1">
      <c r="M881" s="20"/>
      <c r="N881" s="20"/>
    </row>
    <row r="882" ht="12.75" customHeight="1">
      <c r="M882" s="20"/>
      <c r="N882" s="20"/>
    </row>
    <row r="883" ht="12.75" customHeight="1">
      <c r="M883" s="20"/>
      <c r="N883" s="20"/>
    </row>
    <row r="884" ht="12.75" customHeight="1">
      <c r="M884" s="20"/>
      <c r="N884" s="20"/>
    </row>
    <row r="885" ht="12.75" customHeight="1">
      <c r="M885" s="20"/>
      <c r="N885" s="20"/>
    </row>
    <row r="886" ht="12.75" customHeight="1">
      <c r="M886" s="20"/>
      <c r="N886" s="20"/>
    </row>
    <row r="887" ht="12.75" customHeight="1">
      <c r="M887" s="20"/>
      <c r="N887" s="20"/>
    </row>
    <row r="888" ht="12.75" customHeight="1">
      <c r="M888" s="20"/>
      <c r="N888" s="20"/>
    </row>
    <row r="889" ht="12.75" customHeight="1">
      <c r="M889" s="20"/>
      <c r="N889" s="20"/>
    </row>
    <row r="890" ht="12.75" customHeight="1">
      <c r="M890" s="20"/>
      <c r="N890" s="20"/>
    </row>
    <row r="891" ht="12.75" customHeight="1">
      <c r="M891" s="20"/>
      <c r="N891" s="20"/>
    </row>
    <row r="892" ht="12.75" customHeight="1">
      <c r="M892" s="20"/>
      <c r="N892" s="20"/>
    </row>
    <row r="893" ht="12.75" customHeight="1">
      <c r="M893" s="20"/>
      <c r="N893" s="20"/>
    </row>
    <row r="894" ht="12.75" customHeight="1">
      <c r="M894" s="20"/>
      <c r="N894" s="20"/>
    </row>
    <row r="895" ht="12.75" customHeight="1">
      <c r="M895" s="20"/>
      <c r="N895" s="20"/>
    </row>
    <row r="896" ht="12.75" customHeight="1">
      <c r="M896" s="20"/>
      <c r="N896" s="20"/>
    </row>
    <row r="897" ht="12.75" customHeight="1">
      <c r="M897" s="20"/>
      <c r="N897" s="20"/>
    </row>
    <row r="898" ht="12.75" customHeight="1">
      <c r="M898" s="20"/>
      <c r="N898" s="20"/>
    </row>
    <row r="899" ht="12.75" customHeight="1">
      <c r="M899" s="20"/>
      <c r="N899" s="20"/>
    </row>
    <row r="900" ht="12.75" customHeight="1">
      <c r="M900" s="20"/>
      <c r="N900" s="20"/>
    </row>
    <row r="901" ht="12.75" customHeight="1">
      <c r="M901" s="20"/>
      <c r="N901" s="20"/>
    </row>
    <row r="902" ht="12.75" customHeight="1">
      <c r="M902" s="20"/>
      <c r="N902" s="20"/>
    </row>
    <row r="903" ht="12.75" customHeight="1">
      <c r="M903" s="20"/>
      <c r="N903" s="20"/>
    </row>
    <row r="904" ht="12.75" customHeight="1">
      <c r="M904" s="20"/>
      <c r="N904" s="20"/>
    </row>
    <row r="905" ht="12.75" customHeight="1">
      <c r="M905" s="20"/>
      <c r="N905" s="20"/>
    </row>
    <row r="906" ht="12.75" customHeight="1">
      <c r="M906" s="20"/>
      <c r="N906" s="20"/>
    </row>
    <row r="907" ht="12.75" customHeight="1">
      <c r="M907" s="20"/>
      <c r="N907" s="20"/>
    </row>
    <row r="908" ht="12.75" customHeight="1">
      <c r="M908" s="20"/>
      <c r="N908" s="20"/>
    </row>
    <row r="909" ht="12.75" customHeight="1">
      <c r="M909" s="20"/>
      <c r="N909" s="20"/>
    </row>
    <row r="910" ht="12.75" customHeight="1">
      <c r="M910" s="20"/>
      <c r="N910" s="20"/>
    </row>
    <row r="911" ht="12.75" customHeight="1">
      <c r="M911" s="20"/>
      <c r="N911" s="20"/>
    </row>
    <row r="912" ht="12.75" customHeight="1">
      <c r="M912" s="20"/>
      <c r="N912" s="20"/>
    </row>
    <row r="913" ht="12.75" customHeight="1">
      <c r="M913" s="20"/>
      <c r="N913" s="20"/>
    </row>
    <row r="914" ht="12.75" customHeight="1">
      <c r="M914" s="20"/>
      <c r="N914" s="20"/>
    </row>
    <row r="915" ht="12.75" customHeight="1">
      <c r="M915" s="20"/>
      <c r="N915" s="20"/>
    </row>
    <row r="916" ht="12.75" customHeight="1">
      <c r="M916" s="20"/>
      <c r="N916" s="20"/>
    </row>
    <row r="917" ht="12.75" customHeight="1">
      <c r="M917" s="20"/>
      <c r="N917" s="20"/>
    </row>
    <row r="918" ht="12.75" customHeight="1">
      <c r="M918" s="20"/>
      <c r="N918" s="20"/>
    </row>
    <row r="919" ht="12.75" customHeight="1">
      <c r="M919" s="20"/>
      <c r="N919" s="20"/>
    </row>
    <row r="920" ht="12.75" customHeight="1">
      <c r="M920" s="20"/>
      <c r="N920" s="20"/>
    </row>
    <row r="921" ht="12.75" customHeight="1">
      <c r="M921" s="20"/>
      <c r="N921" s="20"/>
    </row>
    <row r="922" ht="12.75" customHeight="1">
      <c r="M922" s="20"/>
      <c r="N922" s="20"/>
    </row>
    <row r="923" ht="12.75" customHeight="1">
      <c r="M923" s="20"/>
      <c r="N923" s="20"/>
    </row>
    <row r="924" ht="12.75" customHeight="1">
      <c r="M924" s="20"/>
      <c r="N924" s="20"/>
    </row>
    <row r="925" ht="12.75" customHeight="1">
      <c r="M925" s="20"/>
      <c r="N925" s="20"/>
    </row>
    <row r="926" ht="12.75" customHeight="1">
      <c r="M926" s="20"/>
      <c r="N926" s="20"/>
    </row>
    <row r="927" ht="12.75" customHeight="1">
      <c r="M927" s="20"/>
      <c r="N927" s="20"/>
    </row>
    <row r="928" ht="12.75" customHeight="1">
      <c r="M928" s="20"/>
      <c r="N928" s="20"/>
    </row>
    <row r="929" ht="12.75" customHeight="1">
      <c r="M929" s="20"/>
      <c r="N929" s="20"/>
    </row>
    <row r="930" ht="12.75" customHeight="1">
      <c r="M930" s="20"/>
      <c r="N930" s="20"/>
    </row>
    <row r="931" ht="12.75" customHeight="1">
      <c r="M931" s="20"/>
      <c r="N931" s="20"/>
    </row>
    <row r="932" ht="12.75" customHeight="1">
      <c r="M932" s="20"/>
      <c r="N932" s="20"/>
    </row>
    <row r="933" ht="12.75" customHeight="1">
      <c r="M933" s="20"/>
      <c r="N933" s="20"/>
    </row>
    <row r="934" ht="12.75" customHeight="1">
      <c r="M934" s="20"/>
      <c r="N934" s="20"/>
    </row>
    <row r="935" ht="12.75" customHeight="1">
      <c r="M935" s="20"/>
      <c r="N935" s="20"/>
    </row>
    <row r="936" ht="12.75" customHeight="1">
      <c r="M936" s="20"/>
      <c r="N936" s="20"/>
    </row>
    <row r="937" ht="12.75" customHeight="1">
      <c r="M937" s="20"/>
      <c r="N937" s="20"/>
    </row>
    <row r="938" ht="12.75" customHeight="1">
      <c r="M938" s="20"/>
      <c r="N938" s="20"/>
    </row>
    <row r="939" ht="12.75" customHeight="1">
      <c r="M939" s="20"/>
      <c r="N939" s="20"/>
    </row>
    <row r="940" ht="12.75" customHeight="1">
      <c r="M940" s="20"/>
      <c r="N940" s="20"/>
    </row>
    <row r="941" ht="12.75" customHeight="1">
      <c r="M941" s="20"/>
      <c r="N941" s="20"/>
    </row>
    <row r="942" ht="12.75" customHeight="1">
      <c r="M942" s="20"/>
      <c r="N942" s="20"/>
    </row>
    <row r="943" ht="12.75" customHeight="1">
      <c r="M943" s="20"/>
      <c r="N943" s="20"/>
    </row>
    <row r="944" ht="12.75" customHeight="1">
      <c r="M944" s="20"/>
      <c r="N944" s="20"/>
    </row>
    <row r="945" ht="12.75" customHeight="1">
      <c r="M945" s="20"/>
      <c r="N945" s="20"/>
    </row>
    <row r="946" ht="12.75" customHeight="1">
      <c r="M946" s="20"/>
      <c r="N946" s="20"/>
    </row>
    <row r="947" ht="12.75" customHeight="1">
      <c r="M947" s="20"/>
      <c r="N947" s="20"/>
    </row>
    <row r="948" ht="12.75" customHeight="1">
      <c r="M948" s="20"/>
      <c r="N948" s="20"/>
    </row>
    <row r="949" ht="12.75" customHeight="1">
      <c r="M949" s="20"/>
      <c r="N949" s="20"/>
    </row>
    <row r="950" ht="12.75" customHeight="1">
      <c r="M950" s="20"/>
      <c r="N950" s="20"/>
    </row>
    <row r="951" ht="12.75" customHeight="1">
      <c r="M951" s="20"/>
      <c r="N951" s="20"/>
    </row>
    <row r="952" ht="12.75" customHeight="1">
      <c r="M952" s="20"/>
      <c r="N952" s="20"/>
    </row>
    <row r="953" ht="12.75" customHeight="1">
      <c r="M953" s="20"/>
      <c r="N953" s="20"/>
    </row>
    <row r="954" ht="12.75" customHeight="1">
      <c r="M954" s="20"/>
      <c r="N954" s="20"/>
    </row>
    <row r="955" ht="12.75" customHeight="1">
      <c r="M955" s="20"/>
      <c r="N955" s="20"/>
    </row>
    <row r="956" ht="12.75" customHeight="1">
      <c r="M956" s="20"/>
      <c r="N956" s="20"/>
    </row>
    <row r="957" ht="12.75" customHeight="1">
      <c r="M957" s="20"/>
      <c r="N957" s="20"/>
    </row>
    <row r="958" ht="12.75" customHeight="1">
      <c r="M958" s="20"/>
      <c r="N958" s="20"/>
    </row>
    <row r="959" ht="12.75" customHeight="1">
      <c r="M959" s="20"/>
      <c r="N959" s="20"/>
    </row>
    <row r="960" ht="12.75" customHeight="1">
      <c r="M960" s="20"/>
      <c r="N960" s="20"/>
    </row>
    <row r="961" ht="12.75" customHeight="1">
      <c r="M961" s="20"/>
      <c r="N961" s="20"/>
    </row>
    <row r="962" ht="12.75" customHeight="1">
      <c r="M962" s="20"/>
      <c r="N962" s="20"/>
    </row>
    <row r="963" ht="12.75" customHeight="1">
      <c r="M963" s="20"/>
      <c r="N963" s="20"/>
    </row>
    <row r="964" ht="12.75" customHeight="1">
      <c r="M964" s="20"/>
      <c r="N964" s="20"/>
    </row>
    <row r="965" ht="12.75" customHeight="1">
      <c r="M965" s="20"/>
      <c r="N965" s="20"/>
    </row>
    <row r="966" ht="12.75" customHeight="1">
      <c r="M966" s="20"/>
      <c r="N966" s="20"/>
    </row>
    <row r="967" ht="12.75" customHeight="1">
      <c r="M967" s="20"/>
      <c r="N967" s="20"/>
    </row>
    <row r="968" ht="12.75" customHeight="1">
      <c r="M968" s="20"/>
      <c r="N968" s="20"/>
    </row>
    <row r="969" ht="12.75" customHeight="1">
      <c r="M969" s="20"/>
      <c r="N969" s="20"/>
    </row>
    <row r="970" ht="12.75" customHeight="1">
      <c r="M970" s="20"/>
      <c r="N970" s="20"/>
    </row>
    <row r="971" ht="12.75" customHeight="1">
      <c r="M971" s="20"/>
      <c r="N971" s="20"/>
    </row>
    <row r="972" ht="12.75" customHeight="1">
      <c r="M972" s="20"/>
      <c r="N972" s="20"/>
    </row>
    <row r="973" ht="12.75" customHeight="1">
      <c r="M973" s="20"/>
      <c r="N973" s="20"/>
    </row>
    <row r="974" ht="12.75" customHeight="1">
      <c r="M974" s="20"/>
      <c r="N974" s="20"/>
    </row>
    <row r="975" ht="12.75" customHeight="1">
      <c r="M975" s="20"/>
      <c r="N975" s="20"/>
    </row>
    <row r="976" ht="12.75" customHeight="1">
      <c r="M976" s="20"/>
      <c r="N976" s="20"/>
    </row>
    <row r="977" ht="12.75" customHeight="1">
      <c r="M977" s="20"/>
      <c r="N977" s="20"/>
    </row>
    <row r="978" ht="12.75" customHeight="1">
      <c r="M978" s="20"/>
      <c r="N978" s="20"/>
    </row>
    <row r="979" ht="12.75" customHeight="1">
      <c r="M979" s="20"/>
      <c r="N979" s="20"/>
    </row>
    <row r="980" ht="12.75" customHeight="1">
      <c r="M980" s="20"/>
      <c r="N980" s="20"/>
    </row>
    <row r="981" ht="12.75" customHeight="1">
      <c r="M981" s="20"/>
      <c r="N981" s="20"/>
    </row>
    <row r="982" ht="12.75" customHeight="1">
      <c r="M982" s="20"/>
      <c r="N982" s="20"/>
    </row>
    <row r="983" ht="12.75" customHeight="1">
      <c r="M983" s="20"/>
      <c r="N983" s="20"/>
    </row>
    <row r="984" ht="12.75" customHeight="1">
      <c r="M984" s="20"/>
      <c r="N984" s="20"/>
    </row>
    <row r="985" ht="12.75" customHeight="1">
      <c r="M985" s="20"/>
      <c r="N985" s="20"/>
    </row>
    <row r="986" ht="12.75" customHeight="1">
      <c r="M986" s="20"/>
      <c r="N986" s="20"/>
    </row>
    <row r="987" ht="12.75" customHeight="1">
      <c r="M987" s="20"/>
      <c r="N987" s="20"/>
    </row>
    <row r="988" ht="12.75" customHeight="1">
      <c r="M988" s="20"/>
      <c r="N988" s="20"/>
    </row>
    <row r="989" ht="12.75" customHeight="1">
      <c r="M989" s="20"/>
      <c r="N989" s="20"/>
    </row>
    <row r="990" ht="12.75" customHeight="1">
      <c r="M990" s="20"/>
      <c r="N990" s="20"/>
    </row>
    <row r="991" ht="12.75" customHeight="1">
      <c r="M991" s="20"/>
      <c r="N991" s="20"/>
    </row>
    <row r="992" ht="12.75" customHeight="1">
      <c r="M992" s="20"/>
      <c r="N992" s="20"/>
    </row>
    <row r="993" ht="12.75" customHeight="1">
      <c r="M993" s="20"/>
      <c r="N993" s="20"/>
    </row>
    <row r="994" ht="12.75" customHeight="1">
      <c r="M994" s="20"/>
      <c r="N994" s="20"/>
    </row>
    <row r="995" ht="12.75" customHeight="1">
      <c r="M995" s="20"/>
      <c r="N995" s="20"/>
    </row>
    <row r="996" ht="12.75" customHeight="1">
      <c r="M996" s="20"/>
      <c r="N996" s="20"/>
    </row>
    <row r="997" ht="12.75" customHeight="1">
      <c r="M997" s="20"/>
      <c r="N997" s="20"/>
    </row>
    <row r="998" ht="12.75" customHeight="1">
      <c r="M998" s="20"/>
      <c r="N998" s="20"/>
    </row>
    <row r="999" ht="12.75" customHeight="1">
      <c r="M999" s="20"/>
      <c r="N999" s="20"/>
    </row>
    <row r="1000" ht="12.75" customHeight="1">
      <c r="M1000" s="20"/>
      <c r="N1000" s="20"/>
    </row>
    <row r="1001" ht="12.75" customHeight="1">
      <c r="M1001" s="20"/>
      <c r="N1001" s="20"/>
    </row>
    <row r="1002" ht="12.75" customHeight="1">
      <c r="M1002" s="20"/>
      <c r="N1002" s="20"/>
    </row>
  </sheetData>
  <mergeCells count="8">
    <mergeCell ref="C6:C7"/>
    <mergeCell ref="C8:C9"/>
    <mergeCell ref="B11:C11"/>
    <mergeCell ref="G19:H19"/>
    <mergeCell ref="C20:C22"/>
    <mergeCell ref="E20:E22"/>
    <mergeCell ref="F20:F22"/>
    <mergeCell ref="G20:H22"/>
  </mergeCells>
  <conditionalFormatting sqref="B25:B64">
    <cfRule type="expression" dxfId="0" priority="1">
      <formula>A25=2</formula>
    </cfRule>
  </conditionalFormatting>
  <conditionalFormatting sqref="C25:C26 C48:C64">
    <cfRule type="expression" dxfId="0" priority="2">
      <formula>A25=1</formula>
    </cfRule>
  </conditionalFormatting>
  <conditionalFormatting sqref="M25:N64">
    <cfRule type="cellIs" dxfId="1" priority="3" operator="equal">
      <formula>1</formula>
    </cfRule>
  </conditionalFormatting>
  <conditionalFormatting sqref="M25:N64">
    <cfRule type="cellIs" dxfId="2" priority="4" operator="equal">
      <formula>2</formula>
    </cfRule>
  </conditionalFormatting>
  <conditionalFormatting sqref="M25:N64">
    <cfRule type="cellIs" dxfId="3" priority="5" operator="equal">
      <formula>3</formula>
    </cfRule>
  </conditionalFormatting>
  <conditionalFormatting sqref="K25:K27">
    <cfRule type="cellIs" dxfId="4" priority="6" operator="equal">
      <formula>1</formula>
    </cfRule>
  </conditionalFormatting>
  <conditionalFormatting sqref="K25:K27">
    <cfRule type="cellIs" dxfId="5" priority="7" operator="equal">
      <formula>2</formula>
    </cfRule>
  </conditionalFormatting>
  <conditionalFormatting sqref="K25:K27">
    <cfRule type="cellIs" dxfId="3" priority="8" operator="equal">
      <formula>3</formula>
    </cfRule>
  </conditionalFormatting>
  <conditionalFormatting sqref="K28:K64">
    <cfRule type="cellIs" dxfId="4" priority="9" operator="equal">
      <formula>1</formula>
    </cfRule>
  </conditionalFormatting>
  <conditionalFormatting sqref="K28:K64">
    <cfRule type="cellIs" dxfId="5" priority="10" operator="equal">
      <formula>2</formula>
    </cfRule>
  </conditionalFormatting>
  <conditionalFormatting sqref="K28:K64">
    <cfRule type="cellIs" dxfId="3" priority="11" operator="equal">
      <formula>3</formula>
    </cfRule>
  </conditionalFormatting>
  <conditionalFormatting sqref="F15:F16 G15">
    <cfRule type="cellIs" dxfId="6" priority="12" operator="between">
      <formula>5</formula>
      <formula>12</formula>
    </cfRule>
  </conditionalFormatting>
  <conditionalFormatting sqref="C20 D18:D20 F20:G20">
    <cfRule type="cellIs" dxfId="7" priority="13" operator="notEqual">
      <formula>""</formula>
    </cfRule>
  </conditionalFormatting>
  <conditionalFormatting sqref="B11:C11">
    <cfRule type="expression" dxfId="0" priority="14">
      <formula>$A$11&gt;0</formula>
    </cfRule>
  </conditionalFormatting>
  <dataValidations>
    <dataValidation type="list" allowBlank="1" showInputMessage="1" showErrorMessage="1" prompt=" - " sqref="H25:H28 H30:H34 H38:H64">
      <formula1>$B$1:$B$3</formula1>
    </dataValidation>
    <dataValidation type="list" allowBlank="1" showInputMessage="1" showErrorMessage="1" prompt=" - " sqref="G25:G64">
      <formula1>$A$1:$A$3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">
    <pageSetUpPr/>
  </sheetPr>
  <sheetViews>
    <sheetView workbookViewId="0"/>
  </sheetViews>
  <sheetFormatPr customHeight="1" defaultColWidth="12.63" defaultRowHeight="15.0"/>
  <cols>
    <col customWidth="1" min="1" max="1" width="1.88"/>
    <col customWidth="1" min="2" max="2" width="11.0"/>
    <col customWidth="1" min="3" max="3" width="9.38"/>
    <col customWidth="1" min="4" max="4" width="10.38"/>
    <col customWidth="1" min="5" max="5" width="14.5"/>
    <col customWidth="1" hidden="1" min="6" max="6" width="8.0"/>
    <col customWidth="1" min="7" max="7" width="11.0"/>
    <col customWidth="1" min="8" max="8" width="2.88"/>
    <col customWidth="1" min="9" max="9" width="10.75"/>
    <col customWidth="1" min="10" max="10" width="9.88"/>
    <col customWidth="1" min="11" max="11" width="2.88"/>
    <col customWidth="1" min="12" max="12" width="10.0"/>
    <col customWidth="1" min="13" max="13" width="9.75"/>
    <col customWidth="1" min="14" max="14" width="2.88"/>
    <col customWidth="1" min="15" max="16" width="8.0"/>
    <col customWidth="1" min="17" max="17" width="7.63"/>
    <col customWidth="1" min="18" max="19" width="2.88"/>
    <col customWidth="1" min="20" max="20" width="3.38"/>
    <col customWidth="1" min="21" max="21" width="5.0"/>
    <col customWidth="1" min="22" max="26" width="8.75"/>
  </cols>
  <sheetData>
    <row r="1" ht="27.0" customHeight="1">
      <c r="A1" s="123" t="s">
        <v>123</v>
      </c>
    </row>
    <row r="2" ht="14.25" customHeight="1">
      <c r="A2" s="123"/>
    </row>
    <row r="3" ht="27.0" customHeight="1">
      <c r="A3" s="123"/>
      <c r="B3" s="124" t="s">
        <v>124</v>
      </c>
      <c r="C3" s="125"/>
      <c r="D3" s="125"/>
      <c r="E3" s="125"/>
      <c r="F3" s="125"/>
      <c r="G3" s="125"/>
      <c r="H3" s="125"/>
      <c r="I3" s="63"/>
    </row>
    <row r="4" ht="27.0" customHeight="1">
      <c r="A4" s="123"/>
      <c r="B4" s="67"/>
      <c r="I4" s="66"/>
    </row>
    <row r="5" ht="27.0" customHeight="1">
      <c r="A5" s="123"/>
      <c r="B5" s="67"/>
      <c r="I5" s="66"/>
    </row>
    <row r="6" ht="27.0" customHeight="1">
      <c r="A6" s="123"/>
      <c r="B6" s="71"/>
      <c r="C6" s="126"/>
      <c r="D6" s="126"/>
      <c r="E6" s="126"/>
      <c r="F6" s="126"/>
      <c r="G6" s="126"/>
      <c r="H6" s="126"/>
      <c r="I6" s="70"/>
    </row>
    <row r="7" ht="13.5" customHeight="1"/>
    <row r="8" ht="16.5" customHeight="1">
      <c r="A8" s="127"/>
      <c r="B8" s="128" t="s">
        <v>125</v>
      </c>
      <c r="C8" s="129"/>
      <c r="D8" s="129"/>
      <c r="E8" s="129"/>
      <c r="F8" s="129"/>
      <c r="G8" s="129"/>
      <c r="H8" s="129"/>
      <c r="I8" s="57"/>
    </row>
    <row r="9" ht="15.75" customHeight="1">
      <c r="A9" s="130"/>
      <c r="B9" s="131"/>
      <c r="C9" s="131"/>
      <c r="D9" s="131"/>
      <c r="E9" s="131"/>
      <c r="F9" s="131"/>
      <c r="G9" s="131"/>
      <c r="H9" s="131"/>
      <c r="I9" s="131"/>
    </row>
    <row r="10" ht="13.5" customHeight="1"/>
    <row r="11" ht="71.25" customHeight="1">
      <c r="B11" s="74" t="s">
        <v>126</v>
      </c>
      <c r="C11" s="132" t="s">
        <v>127</v>
      </c>
      <c r="D11" s="133"/>
      <c r="E11" s="134" t="s">
        <v>128</v>
      </c>
      <c r="G11" s="134" t="s">
        <v>129</v>
      </c>
      <c r="H11" s="135" t="s">
        <v>130</v>
      </c>
      <c r="I11" s="134" t="s">
        <v>131</v>
      </c>
      <c r="J11" s="75" t="s">
        <v>132</v>
      </c>
      <c r="K11" s="136" t="s">
        <v>133</v>
      </c>
      <c r="L11" s="74" t="s">
        <v>49</v>
      </c>
      <c r="M11" s="79" t="s">
        <v>50</v>
      </c>
      <c r="N11" s="137" t="s">
        <v>51</v>
      </c>
      <c r="O11" s="74" t="s">
        <v>134</v>
      </c>
      <c r="P11" s="134" t="s">
        <v>135</v>
      </c>
      <c r="Q11" s="134" t="s">
        <v>136</v>
      </c>
      <c r="R11" s="138" t="s">
        <v>52</v>
      </c>
      <c r="S11" s="139" t="s">
        <v>53</v>
      </c>
      <c r="T11" s="140" t="s">
        <v>137</v>
      </c>
      <c r="U11" s="141" t="s">
        <v>56</v>
      </c>
    </row>
    <row r="12" ht="53.25" customHeight="1">
      <c r="B12" s="142" t="s">
        <v>138</v>
      </c>
      <c r="C12" s="143" t="s">
        <v>139</v>
      </c>
      <c r="D12" s="144"/>
      <c r="E12" s="143" t="s">
        <v>140</v>
      </c>
      <c r="F12" s="144"/>
      <c r="G12" s="145" t="s">
        <v>141</v>
      </c>
      <c r="H12" s="146" t="s">
        <v>142</v>
      </c>
      <c r="I12" s="145" t="s">
        <v>143</v>
      </c>
      <c r="J12" s="145" t="s">
        <v>144</v>
      </c>
      <c r="K12" s="146" t="s">
        <v>142</v>
      </c>
      <c r="L12" s="147" t="s">
        <v>145</v>
      </c>
      <c r="M12" s="147" t="s">
        <v>146</v>
      </c>
      <c r="N12" s="146" t="s">
        <v>142</v>
      </c>
      <c r="O12" s="147" t="s">
        <v>147</v>
      </c>
      <c r="P12" s="147" t="s">
        <v>147</v>
      </c>
      <c r="Q12" s="147" t="s">
        <v>147</v>
      </c>
      <c r="R12" s="146" t="s">
        <v>142</v>
      </c>
      <c r="S12" s="148"/>
      <c r="T12" s="147" t="s">
        <v>148</v>
      </c>
      <c r="U12" s="149" t="s">
        <v>149</v>
      </c>
    </row>
    <row r="13" ht="12.75" customHeight="1"/>
    <row r="14" ht="12.75" customHeight="1"/>
    <row r="15" ht="13.5" customHeight="1"/>
    <row r="16" ht="13.5" customHeight="1">
      <c r="A16" s="150">
        <v>1.0</v>
      </c>
      <c r="B16" s="151" t="s">
        <v>150</v>
      </c>
      <c r="C16" s="129"/>
      <c r="D16" s="129"/>
      <c r="E16" s="129"/>
      <c r="F16" s="129"/>
      <c r="G16" s="129"/>
      <c r="H16" s="129"/>
      <c r="I16" s="57"/>
    </row>
    <row r="17" ht="13.5" customHeight="1"/>
    <row r="18" ht="15.75" customHeight="1">
      <c r="A18" s="152"/>
      <c r="B18" s="153"/>
      <c r="C18" s="154" t="s">
        <v>151</v>
      </c>
      <c r="D18" s="155" t="s">
        <v>152</v>
      </c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</row>
    <row r="19" ht="15.75" customHeight="1">
      <c r="B19" s="156" t="s">
        <v>153</v>
      </c>
      <c r="C19" s="157">
        <v>6.0</v>
      </c>
      <c r="D19" s="158">
        <v>3.0</v>
      </c>
    </row>
    <row r="20" ht="15.75" customHeight="1">
      <c r="B20" s="156" t="s">
        <v>154</v>
      </c>
      <c r="C20" s="157">
        <v>3.0</v>
      </c>
      <c r="D20" s="158">
        <v>2.0</v>
      </c>
    </row>
    <row r="21" ht="16.5" customHeight="1">
      <c r="B21" s="159" t="s">
        <v>40</v>
      </c>
      <c r="C21" s="160">
        <v>1.0</v>
      </c>
      <c r="D21" s="161">
        <v>1.0</v>
      </c>
    </row>
    <row r="22" ht="13.5" customHeight="1"/>
    <row r="23" ht="13.5" customHeight="1">
      <c r="A23" s="150">
        <v>2.0</v>
      </c>
      <c r="B23" s="151" t="s">
        <v>155</v>
      </c>
      <c r="C23" s="129"/>
      <c r="D23" s="129"/>
      <c r="E23" s="129"/>
      <c r="F23" s="129"/>
      <c r="G23" s="129"/>
      <c r="H23" s="129"/>
      <c r="I23" s="57"/>
    </row>
    <row r="24" ht="13.5" customHeight="1"/>
    <row r="25" ht="15.75" customHeight="1">
      <c r="B25" s="162" t="s">
        <v>36</v>
      </c>
      <c r="C25" s="4" t="s">
        <v>156</v>
      </c>
      <c r="D25" s="163">
        <f>+D26</f>
        <v>11</v>
      </c>
      <c r="F25" s="1" t="str">
        <f>CONCATENATE("&gt;",D25)</f>
        <v>&gt;11</v>
      </c>
    </row>
    <row r="26" ht="15.75" customHeight="1">
      <c r="B26" s="156" t="s">
        <v>38</v>
      </c>
      <c r="C26" s="1" t="s">
        <v>157</v>
      </c>
      <c r="D26" s="158">
        <v>11.0</v>
      </c>
      <c r="F26" s="1" t="str">
        <f t="shared" ref="F26:F27" si="1">CONCATENATE("&lt;=",D26)</f>
        <v>&lt;=11</v>
      </c>
    </row>
    <row r="27" ht="16.5" customHeight="1">
      <c r="B27" s="159" t="s">
        <v>40</v>
      </c>
      <c r="C27" s="9" t="s">
        <v>157</v>
      </c>
      <c r="D27" s="161">
        <v>5.0</v>
      </c>
      <c r="F27" s="1" t="str">
        <f t="shared" si="1"/>
        <v>&lt;=5</v>
      </c>
    </row>
    <row r="28" ht="12.75" customHeight="1"/>
    <row r="29" ht="12.75" customHeight="1"/>
    <row r="30" ht="13.5" customHeight="1"/>
    <row r="31" ht="13.5" customHeight="1">
      <c r="A31" s="164"/>
      <c r="B31" s="164" t="s">
        <v>158</v>
      </c>
      <c r="C31" s="165"/>
      <c r="D31" s="129"/>
      <c r="E31" s="129"/>
      <c r="F31" s="129"/>
      <c r="G31" s="129"/>
      <c r="H31" s="129"/>
      <c r="I31" s="57"/>
    </row>
    <row r="32" ht="15.0" customHeight="1">
      <c r="B32" s="166" t="s">
        <v>159</v>
      </c>
      <c r="C32" s="167" t="s">
        <v>160</v>
      </c>
    </row>
    <row r="33" ht="25.5" customHeight="1">
      <c r="B33" s="168" t="s">
        <v>159</v>
      </c>
      <c r="C33" s="167" t="s">
        <v>161</v>
      </c>
    </row>
    <row r="34" ht="15.0" customHeight="1">
      <c r="B34" s="169" t="s">
        <v>159</v>
      </c>
      <c r="C34" s="167" t="s">
        <v>162</v>
      </c>
    </row>
    <row r="35" ht="15.75" customHeight="1">
      <c r="B35" s="170" t="s">
        <v>159</v>
      </c>
      <c r="C35" s="167" t="s">
        <v>163</v>
      </c>
    </row>
    <row r="36" ht="12.75" customHeight="1">
      <c r="C36" s="122"/>
      <c r="D36" s="122"/>
      <c r="E36" s="122"/>
      <c r="F36" s="122"/>
      <c r="G36" s="122"/>
      <c r="H36" s="122"/>
      <c r="I36" s="122"/>
    </row>
    <row r="37" ht="13.5" customHeight="1">
      <c r="C37" s="122"/>
      <c r="D37" s="122"/>
      <c r="E37" s="122"/>
      <c r="F37" s="122"/>
      <c r="G37" s="122"/>
      <c r="H37" s="122"/>
      <c r="I37" s="122"/>
    </row>
    <row r="38" ht="13.5" customHeight="1">
      <c r="A38" s="139"/>
      <c r="B38" s="171" t="s">
        <v>164</v>
      </c>
      <c r="C38" s="172"/>
      <c r="D38" s="129"/>
      <c r="E38" s="129"/>
      <c r="F38" s="129"/>
      <c r="G38" s="129"/>
      <c r="H38" s="129"/>
      <c r="I38" s="57"/>
    </row>
    <row r="39" ht="12.75" customHeight="1">
      <c r="B39" s="1" t="s">
        <v>165</v>
      </c>
      <c r="C39" s="1" t="s">
        <v>153</v>
      </c>
      <c r="D39" s="1" t="s">
        <v>166</v>
      </c>
    </row>
    <row r="40" ht="12.75" customHeight="1">
      <c r="B40" s="1" t="s">
        <v>167</v>
      </c>
      <c r="C40" s="1" t="s">
        <v>154</v>
      </c>
      <c r="D40" s="1" t="s">
        <v>168</v>
      </c>
    </row>
    <row r="41" ht="12.75" customHeight="1">
      <c r="B41" s="1" t="s">
        <v>169</v>
      </c>
      <c r="C41" s="1" t="s">
        <v>40</v>
      </c>
      <c r="D41" s="1" t="s">
        <v>170</v>
      </c>
    </row>
    <row r="42" ht="12.75" customHeight="1"/>
    <row r="43" ht="13.5" customHeight="1"/>
    <row r="44" ht="26.25" customHeight="1">
      <c r="A44" s="173"/>
      <c r="B44" s="173" t="s">
        <v>171</v>
      </c>
      <c r="C44" s="174"/>
      <c r="D44" s="129"/>
      <c r="E44" s="129"/>
      <c r="F44" s="129"/>
      <c r="G44" s="129"/>
      <c r="H44" s="129"/>
      <c r="I44" s="57"/>
    </row>
    <row r="45" ht="15.0" customHeight="1">
      <c r="B45" s="166" t="s">
        <v>159</v>
      </c>
      <c r="C45" s="1" t="s">
        <v>172</v>
      </c>
    </row>
    <row r="46" ht="15.0" customHeight="1">
      <c r="B46" s="169" t="s">
        <v>159</v>
      </c>
      <c r="C46" s="1" t="s">
        <v>173</v>
      </c>
    </row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4">
    <mergeCell ref="C31:I31"/>
    <mergeCell ref="C32:I32"/>
    <mergeCell ref="C33:I33"/>
    <mergeCell ref="C34:I34"/>
    <mergeCell ref="C35:I35"/>
    <mergeCell ref="C38:I38"/>
    <mergeCell ref="C44:I44"/>
    <mergeCell ref="B3:I6"/>
    <mergeCell ref="B8:I8"/>
    <mergeCell ref="C11:D11"/>
    <mergeCell ref="C12:D12"/>
    <mergeCell ref="E12:F12"/>
    <mergeCell ref="B16:I16"/>
    <mergeCell ref="B23:I23"/>
  </mergeCells>
  <conditionalFormatting sqref="B50:I1000 B54:I1000 N24 R24:T24">
    <cfRule type="expression" dxfId="0" priority="1">
      <formula>$K$30&lt;&gt;""</formula>
    </cfRule>
  </conditionalFormatting>
  <conditionalFormatting sqref="H24:H25 K25 N25 R25:S25">
    <cfRule type="expression" dxfId="0" priority="2">
      <formula>$E$30&lt;&gt;""</formula>
    </cfRule>
  </conditionalFormatting>
  <conditionalFormatting sqref="K24">
    <cfRule type="expression" dxfId="0" priority="3">
      <formula>$H$30&lt;&gt;""</formula>
    </cfRule>
  </conditionalFormatting>
  <conditionalFormatting sqref="A38:I38 S11">
    <cfRule type="expression" dxfId="0" priority="4">
      <formula>$K$20&lt;&gt;""</formula>
    </cfRule>
  </conditionalFormatting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2002-10-04T09:05:18Z</dcterms:created>
  <dc:creator>OPP8MI</dc:creator>
</cp:coreProperties>
</file>